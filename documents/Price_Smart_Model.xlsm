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https://ubcca-my.sharepoint.com/personal/nrivmen_student_ubc_ca/Documents/Applications/Practice/Price Smart/"/>
    </mc:Choice>
  </mc:AlternateContent>
  <xr:revisionPtr revIDLastSave="2313" documentId="8_{599DDD26-3F3A-4FB2-9D4A-682E68E50669}" xr6:coauthVersionLast="47" xr6:coauthVersionMax="47" xr10:uidLastSave="{095F2F43-91EF-4F2C-80B0-2D477B6C5014}"/>
  <bookViews>
    <workbookView xWindow="-108" yWindow="-108" windowWidth="23256" windowHeight="13896" activeTab="4" xr2:uid="{769A7AEB-AA69-4D38-90D2-8DB478BC6595}"/>
  </bookViews>
  <sheets>
    <sheet name="Income Statement" sheetId="1" r:id="rId1"/>
    <sheet name="Balance Sheet" sheetId="2" r:id="rId2"/>
    <sheet name="Cash Flow" sheetId="3" r:id="rId3"/>
    <sheet name="COMPS" sheetId="12" r:id="rId4"/>
    <sheet name="Model" sheetId="4" r:id="rId5"/>
    <sheet name="DCF" sheetId="5" r:id="rId6"/>
    <sheet name="Store NPV" sheetId="9" r:id="rId7"/>
    <sheet name="Graphs" sheetId="10" r:id="rId8"/>
  </sheets>
  <definedNames>
    <definedName name="_xleta.AVERAGE" hidden="1" xlm="1">#NAME?</definedName>
    <definedName name="_xleta.MAX" hidden="1" xlm="1">#NAME?</definedName>
    <definedName name="_xleta.PV" hidden="1" xlm="1">#NAME?</definedName>
    <definedName name="_xleta.QUARTILE.EXC" hidden="1" xlm="1">#NAME?</definedName>
    <definedName name="_xlnm.Print_Titles" localSheetId="1">'Balance Sheet'!#REF!</definedName>
    <definedName name="_xlnm.Print_Titles" localSheetId="2">'Cash Flow'!#REF!</definedName>
    <definedName name="_xlnm.Print_Titles" localSheetId="3">COMPS!$1:$1</definedName>
    <definedName name="_xlnm.Print_Titles" localSheetId="0">'Income Statement'!#REF!</definedName>
  </definedNames>
  <calcPr calcId="191029" calcMode="autoNoTable"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K25" i="5" l="1"/>
  <c r="K20" i="5"/>
  <c r="S53" i="10"/>
  <c r="L153" i="4" a="1"/>
  <c r="L153" i="4" s="1"/>
  <c r="K153" i="4" a="1"/>
  <c r="K153" i="4" s="1"/>
  <c r="J153" i="4" a="1"/>
  <c r="J153" i="4" s="1"/>
  <c r="J77" i="9" s="1"/>
  <c r="L152" i="4" a="1"/>
  <c r="L152" i="4" s="1"/>
  <c r="K152" i="4" a="1"/>
  <c r="K152" i="4" s="1"/>
  <c r="J152" i="4" a="1"/>
  <c r="J152" i="4" s="1"/>
  <c r="J76" i="9" s="1"/>
  <c r="L151" i="4" a="1"/>
  <c r="L151" i="4" s="1"/>
  <c r="K151" i="4" a="1"/>
  <c r="K151" i="4" s="1"/>
  <c r="J151" i="4" a="1"/>
  <c r="J151" i="4" s="1"/>
  <c r="J75" i="9" s="1"/>
  <c r="H36" i="5"/>
  <c r="H34" i="5"/>
  <c r="P13" i="5"/>
  <c r="P14" i="5"/>
  <c r="P12" i="5"/>
  <c r="O14" i="5"/>
  <c r="O13" i="5"/>
  <c r="O12" i="5"/>
  <c r="F14" i="12"/>
  <c r="F15" i="12"/>
  <c r="F16" i="12"/>
  <c r="F17" i="12"/>
  <c r="C14" i="12"/>
  <c r="D14" i="12"/>
  <c r="E14" i="12"/>
  <c r="C15" i="12"/>
  <c r="D15" i="12"/>
  <c r="E15" i="12"/>
  <c r="C16" i="12"/>
  <c r="D16" i="12"/>
  <c r="E16" i="12"/>
  <c r="C17" i="12"/>
  <c r="D17" i="12"/>
  <c r="E17" i="12"/>
  <c r="B17" i="12"/>
  <c r="B15" i="12"/>
  <c r="B14" i="12"/>
  <c r="B16" i="12"/>
  <c r="N14" i="5"/>
  <c r="N12" i="5"/>
  <c r="N13" i="5"/>
  <c r="B62" i="9"/>
  <c r="B56" i="9"/>
  <c r="B50" i="9"/>
  <c r="U53" i="9"/>
  <c r="V53" i="9"/>
  <c r="W53" i="9"/>
  <c r="X53" i="9"/>
  <c r="Y53" i="9"/>
  <c r="U59" i="9"/>
  <c r="V59" i="9"/>
  <c r="W59" i="9"/>
  <c r="X59" i="9"/>
  <c r="Y59" i="9"/>
  <c r="U65" i="9"/>
  <c r="V65" i="9"/>
  <c r="W65" i="9"/>
  <c r="X65" i="9"/>
  <c r="Y65" i="9"/>
  <c r="B48" i="9"/>
  <c r="B47" i="9"/>
  <c r="B46" i="9"/>
  <c r="C101" i="9"/>
  <c r="C92" i="9"/>
  <c r="C82" i="9"/>
  <c r="C3" i="9"/>
  <c r="C68" i="9"/>
  <c r="C71" i="9"/>
  <c r="D71" i="9"/>
  <c r="E71" i="9"/>
  <c r="F71" i="9"/>
  <c r="G71" i="9"/>
  <c r="C72" i="9"/>
  <c r="D72" i="9"/>
  <c r="E72" i="9"/>
  <c r="F72" i="9"/>
  <c r="G72" i="9"/>
  <c r="C73" i="9"/>
  <c r="D73" i="9"/>
  <c r="E73" i="9"/>
  <c r="F73" i="9"/>
  <c r="G73" i="9"/>
  <c r="C74" i="9"/>
  <c r="D74" i="9"/>
  <c r="E74" i="9"/>
  <c r="F74" i="9"/>
  <c r="G74" i="9"/>
  <c r="H74" i="9"/>
  <c r="I74" i="9"/>
  <c r="J74" i="9"/>
  <c r="K74" i="9"/>
  <c r="L74" i="9"/>
  <c r="C75" i="9"/>
  <c r="H75" i="9"/>
  <c r="I75" i="9"/>
  <c r="C76" i="9"/>
  <c r="H76" i="9"/>
  <c r="I76" i="9"/>
  <c r="C77" i="9"/>
  <c r="H77" i="9"/>
  <c r="I77" i="9"/>
  <c r="C78" i="9"/>
  <c r="C29" i="9"/>
  <c r="D29" i="9"/>
  <c r="E29" i="9"/>
  <c r="F29" i="9"/>
  <c r="G29" i="9"/>
  <c r="G121" i="4"/>
  <c r="F226" i="4"/>
  <c r="D226" i="4"/>
  <c r="H450" i="4"/>
  <c r="I450" i="4" s="1"/>
  <c r="J450" i="4" s="1"/>
  <c r="K450" i="4" s="1"/>
  <c r="L450" i="4" s="1"/>
  <c r="H448" i="4"/>
  <c r="H449" i="4"/>
  <c r="I449" i="4" s="1"/>
  <c r="J449" i="4" s="1"/>
  <c r="K449" i="4" s="1"/>
  <c r="L449" i="4" s="1"/>
  <c r="I259" i="4"/>
  <c r="J259" i="4" s="1"/>
  <c r="K259" i="4" s="1"/>
  <c r="L259" i="4" s="1"/>
  <c r="I275" i="4"/>
  <c r="J275" i="4" s="1"/>
  <c r="K275" i="4" s="1"/>
  <c r="L275" i="4" s="1"/>
  <c r="K167" i="4"/>
  <c r="L167" i="4" s="1"/>
  <c r="K168" i="4"/>
  <c r="L168" i="4" s="1"/>
  <c r="K166" i="4"/>
  <c r="L166" i="4" s="1"/>
  <c r="I416" i="4"/>
  <c r="J416" i="4" s="1"/>
  <c r="K416" i="4" s="1"/>
  <c r="L416" i="4" s="1"/>
  <c r="H310" i="4"/>
  <c r="D398" i="4"/>
  <c r="E398" i="4" s="1"/>
  <c r="F398" i="4" s="1"/>
  <c r="G398" i="4" s="1"/>
  <c r="H398" i="4" s="1"/>
  <c r="C396" i="4"/>
  <c r="I266" i="4"/>
  <c r="J266" i="4" s="1"/>
  <c r="K266" i="4" s="1"/>
  <c r="L266" i="4" s="1"/>
  <c r="I267" i="4"/>
  <c r="J267" i="4" s="1"/>
  <c r="K267" i="4" s="1"/>
  <c r="L267" i="4" s="1"/>
  <c r="L75" i="9" l="1"/>
  <c r="L76" i="9"/>
  <c r="L77" i="9"/>
  <c r="K77" i="9"/>
  <c r="K75" i="9"/>
  <c r="K76" i="9"/>
  <c r="H451" i="4"/>
  <c r="I448" i="4" s="1"/>
  <c r="I451" i="4" s="1"/>
  <c r="J448" i="4" s="1"/>
  <c r="J451" i="4" s="1"/>
  <c r="K448" i="4" s="1"/>
  <c r="K451" i="4" s="1"/>
  <c r="L448" i="4" s="1"/>
  <c r="L451" i="4" s="1"/>
  <c r="I398" i="4"/>
  <c r="J398" i="4" l="1"/>
  <c r="K398" i="4" l="1"/>
  <c r="J154" i="4"/>
  <c r="J78" i="9" s="1"/>
  <c r="E175" i="4"/>
  <c r="F175" i="4"/>
  <c r="G175" i="4"/>
  <c r="H407" i="4"/>
  <c r="H414" i="4" s="1"/>
  <c r="H408" i="4" s="1"/>
  <c r="G155" i="4"/>
  <c r="G79" i="9" s="1"/>
  <c r="F155" i="4"/>
  <c r="F79" i="9" s="1"/>
  <c r="E155" i="4"/>
  <c r="E79" i="9" s="1"/>
  <c r="D155" i="4"/>
  <c r="D79" i="9" s="1"/>
  <c r="C155" i="4"/>
  <c r="C79" i="9" s="1"/>
  <c r="E151" i="4"/>
  <c r="E75" i="9" s="1"/>
  <c r="F151" i="4"/>
  <c r="F75" i="9" s="1"/>
  <c r="G151" i="4"/>
  <c r="G75" i="9" s="1"/>
  <c r="E152" i="4"/>
  <c r="E76" i="9" s="1"/>
  <c r="F152" i="4"/>
  <c r="F76" i="9" s="1"/>
  <c r="G152" i="4"/>
  <c r="G76" i="9" s="1"/>
  <c r="E153" i="4"/>
  <c r="E77" i="9" s="1"/>
  <c r="F153" i="4"/>
  <c r="F77" i="9" s="1"/>
  <c r="G153" i="4"/>
  <c r="G77" i="9" s="1"/>
  <c r="D152" i="4"/>
  <c r="D76" i="9" s="1"/>
  <c r="D153" i="4"/>
  <c r="D77" i="9" s="1"/>
  <c r="D151" i="4"/>
  <c r="D75" i="9" s="1"/>
  <c r="C180" i="4"/>
  <c r="D180" i="4"/>
  <c r="E180" i="4"/>
  <c r="F180" i="4"/>
  <c r="G179" i="4"/>
  <c r="G178" i="4"/>
  <c r="D74" i="4"/>
  <c r="I272" i="4"/>
  <c r="J272" i="4" s="1"/>
  <c r="K272" i="4" s="1"/>
  <c r="L272" i="4" s="1"/>
  <c r="B19" i="5"/>
  <c r="B23" i="5" s="1"/>
  <c r="B27" i="5" s="1"/>
  <c r="B20" i="5"/>
  <c r="B24" i="5" s="1"/>
  <c r="B28" i="5" s="1"/>
  <c r="B18" i="5"/>
  <c r="B22" i="5" s="1"/>
  <c r="B26" i="5" s="1"/>
  <c r="B41" i="5"/>
  <c r="J429" i="4"/>
  <c r="K429" i="4" s="1"/>
  <c r="L429" i="4" s="1"/>
  <c r="I359" i="4"/>
  <c r="J359" i="4" s="1"/>
  <c r="K359" i="4" s="1"/>
  <c r="L359" i="4" s="1"/>
  <c r="D49" i="4"/>
  <c r="E49" i="4"/>
  <c r="F49" i="4"/>
  <c r="G49" i="4"/>
  <c r="C49" i="4"/>
  <c r="H319" i="4"/>
  <c r="H318" i="4" s="1"/>
  <c r="I47" i="4"/>
  <c r="J47" i="4" s="1"/>
  <c r="K47" i="4" s="1"/>
  <c r="L47" i="4" s="1"/>
  <c r="I298" i="4"/>
  <c r="J298" i="4" s="1"/>
  <c r="K298" i="4" s="1"/>
  <c r="L298" i="4" s="1"/>
  <c r="I297" i="4"/>
  <c r="J297" i="4" s="1"/>
  <c r="K297" i="4" s="1"/>
  <c r="L297" i="4" s="1"/>
  <c r="G183" i="4" l="1"/>
  <c r="F184" i="4"/>
  <c r="E184" i="4"/>
  <c r="L398" i="4"/>
  <c r="H154" i="4"/>
  <c r="G180" i="4"/>
  <c r="G154" i="4"/>
  <c r="L154" i="4"/>
  <c r="L78" i="9" s="1"/>
  <c r="D154" i="4"/>
  <c r="D78" i="9" s="1"/>
  <c r="G34" i="5"/>
  <c r="G36" i="5"/>
  <c r="F154" i="4"/>
  <c r="G35" i="5"/>
  <c r="E154" i="4"/>
  <c r="E78" i="9" s="1"/>
  <c r="K154" i="4"/>
  <c r="K78" i="9" s="1"/>
  <c r="G185" i="4"/>
  <c r="G184" i="4"/>
  <c r="F183" i="4"/>
  <c r="E183" i="4"/>
  <c r="F185" i="4"/>
  <c r="E185" i="4"/>
  <c r="K24" i="5"/>
  <c r="K26" i="5" s="1"/>
  <c r="B16" i="5"/>
  <c r="B33" i="5" s="1"/>
  <c r="K18" i="5"/>
  <c r="E451" i="4"/>
  <c r="F448" i="4" s="1"/>
  <c r="F451" i="4" s="1"/>
  <c r="G448" i="4" s="1"/>
  <c r="G78" i="9" l="1"/>
  <c r="F393" i="4"/>
  <c r="H78" i="9"/>
  <c r="G393" i="4"/>
  <c r="E393" i="4"/>
  <c r="F78" i="9"/>
  <c r="H147" i="4"/>
  <c r="H71" i="9" s="1"/>
  <c r="I154" i="4"/>
  <c r="I78" i="9" s="1"/>
  <c r="K15" i="5"/>
  <c r="H148" i="4"/>
  <c r="H72" i="9" s="1"/>
  <c r="H149" i="4"/>
  <c r="H73" i="9" s="1"/>
  <c r="B31" i="5"/>
  <c r="C82" i="4"/>
  <c r="D82" i="4"/>
  <c r="E82" i="4"/>
  <c r="F82" i="4"/>
  <c r="G82" i="4"/>
  <c r="C83" i="4"/>
  <c r="D83" i="4"/>
  <c r="E83" i="4"/>
  <c r="F83" i="4"/>
  <c r="G83" i="4"/>
  <c r="C84" i="4"/>
  <c r="D84" i="4"/>
  <c r="E84" i="4"/>
  <c r="F84" i="4"/>
  <c r="G84" i="4"/>
  <c r="C85" i="4"/>
  <c r="D85" i="4"/>
  <c r="E85" i="4"/>
  <c r="F85" i="4"/>
  <c r="G85" i="4"/>
  <c r="C86" i="4"/>
  <c r="D86" i="4"/>
  <c r="E86" i="4"/>
  <c r="F86" i="4"/>
  <c r="G86" i="4"/>
  <c r="C90" i="4"/>
  <c r="D90" i="4"/>
  <c r="E90" i="4"/>
  <c r="F90" i="4"/>
  <c r="G90" i="4"/>
  <c r="C91" i="4"/>
  <c r="D91" i="4"/>
  <c r="E91" i="4"/>
  <c r="F91" i="4"/>
  <c r="G91" i="4"/>
  <c r="C92" i="4"/>
  <c r="D92" i="4"/>
  <c r="E92" i="4"/>
  <c r="F92" i="4"/>
  <c r="G92" i="4"/>
  <c r="C3" i="5"/>
  <c r="B2" i="5"/>
  <c r="I413" i="4"/>
  <c r="I310" i="4" s="1"/>
  <c r="L133" i="4"/>
  <c r="I410" i="4"/>
  <c r="J410" i="4" s="1"/>
  <c r="K410" i="4" s="1"/>
  <c r="L410" i="4" s="1"/>
  <c r="I442" i="4"/>
  <c r="H442" i="4"/>
  <c r="I443" i="4"/>
  <c r="H443" i="4"/>
  <c r="G430" i="4"/>
  <c r="F430" i="4"/>
  <c r="H430" i="4"/>
  <c r="I438" i="4"/>
  <c r="J438" i="4" s="1"/>
  <c r="K438" i="4" s="1"/>
  <c r="L438" i="4" s="1"/>
  <c r="I313" i="4"/>
  <c r="J313" i="4" s="1"/>
  <c r="K313" i="4" s="1"/>
  <c r="L313" i="4" s="1"/>
  <c r="H393" i="4" l="1"/>
  <c r="H384" i="4" s="1"/>
  <c r="H29" i="9" s="1"/>
  <c r="H34" i="9" s="1"/>
  <c r="H39" i="9" s="1"/>
  <c r="I147" i="4"/>
  <c r="C93" i="4"/>
  <c r="G93" i="4"/>
  <c r="F93" i="4"/>
  <c r="E93" i="4"/>
  <c r="D93" i="4"/>
  <c r="I148" i="4"/>
  <c r="I72" i="9" s="1"/>
  <c r="I149" i="4"/>
  <c r="I73" i="9" s="1"/>
  <c r="H155" i="4"/>
  <c r="H79" i="9" s="1"/>
  <c r="J413" i="4"/>
  <c r="J310" i="4" s="1"/>
  <c r="G87" i="4"/>
  <c r="D87" i="4"/>
  <c r="E87" i="4"/>
  <c r="C87" i="4"/>
  <c r="F87" i="4"/>
  <c r="K133" i="4"/>
  <c r="J133" i="4"/>
  <c r="H133" i="4"/>
  <c r="I133" i="4"/>
  <c r="I74" i="4"/>
  <c r="J74" i="4" s="1"/>
  <c r="K74" i="4" s="1"/>
  <c r="L74" i="4" s="1"/>
  <c r="I70" i="4"/>
  <c r="J70" i="4" s="1"/>
  <c r="K70" i="4" s="1"/>
  <c r="L70" i="4" s="1"/>
  <c r="H65" i="4"/>
  <c r="I66" i="4"/>
  <c r="J66" i="4"/>
  <c r="K66" i="4"/>
  <c r="L66" i="4"/>
  <c r="C67" i="4"/>
  <c r="D67" i="4"/>
  <c r="E67" i="4"/>
  <c r="F67" i="4"/>
  <c r="G67" i="4"/>
  <c r="C335" i="4"/>
  <c r="I318" i="4"/>
  <c r="I65" i="4" s="1"/>
  <c r="J318" i="4"/>
  <c r="J65" i="4" s="1"/>
  <c r="K318" i="4"/>
  <c r="K65" i="4" s="1"/>
  <c r="L318" i="4"/>
  <c r="L65" i="4" s="1"/>
  <c r="L314" i="4"/>
  <c r="K314" i="4"/>
  <c r="J314" i="4"/>
  <c r="I314" i="4"/>
  <c r="C104" i="4"/>
  <c r="C103" i="4"/>
  <c r="D103" i="4"/>
  <c r="E103" i="4"/>
  <c r="F103" i="4"/>
  <c r="E104" i="4"/>
  <c r="F104" i="4"/>
  <c r="D104" i="4"/>
  <c r="G104" i="4"/>
  <c r="H104" i="4" s="1"/>
  <c r="I104" i="4" s="1"/>
  <c r="J104" i="4" s="1"/>
  <c r="K104" i="4" s="1"/>
  <c r="L104" i="4" s="1"/>
  <c r="G103" i="4"/>
  <c r="I128" i="4"/>
  <c r="J128" i="4" s="1"/>
  <c r="K128" i="4" s="1"/>
  <c r="L128" i="4" s="1"/>
  <c r="G125" i="4"/>
  <c r="H125" i="4" s="1"/>
  <c r="I125" i="4" s="1"/>
  <c r="J125" i="4" s="1"/>
  <c r="K125" i="4" s="1"/>
  <c r="L125" i="4" s="1"/>
  <c r="F125" i="4"/>
  <c r="E125" i="4"/>
  <c r="D125" i="4"/>
  <c r="C125" i="4"/>
  <c r="D124" i="4"/>
  <c r="D431" i="4" s="1"/>
  <c r="E428" i="4" s="1"/>
  <c r="E124" i="4"/>
  <c r="E431" i="4" s="1"/>
  <c r="F428" i="4" s="1"/>
  <c r="F124" i="4"/>
  <c r="F431" i="4" s="1"/>
  <c r="G428" i="4" s="1"/>
  <c r="G124" i="4"/>
  <c r="G431" i="4" s="1"/>
  <c r="H428" i="4" s="1"/>
  <c r="C124" i="4"/>
  <c r="E123" i="4"/>
  <c r="E320" i="4" s="1"/>
  <c r="F317" i="4" s="1"/>
  <c r="D123" i="4"/>
  <c r="D320" i="4" s="1"/>
  <c r="E317" i="4" s="1"/>
  <c r="F123" i="4"/>
  <c r="F320" i="4" s="1"/>
  <c r="G317" i="4" s="1"/>
  <c r="G123" i="4"/>
  <c r="C123" i="4"/>
  <c r="C320" i="4" s="1"/>
  <c r="C317" i="4"/>
  <c r="I311" i="4"/>
  <c r="J311" i="4" s="1"/>
  <c r="K311" i="4" s="1"/>
  <c r="L311" i="4" s="1"/>
  <c r="C427" i="4"/>
  <c r="C447" i="4" s="1"/>
  <c r="G335" i="4"/>
  <c r="F76" i="4"/>
  <c r="F327" i="4" s="1"/>
  <c r="D76" i="4"/>
  <c r="D327" i="4" s="1"/>
  <c r="E76" i="4"/>
  <c r="E327" i="4" s="1"/>
  <c r="G76" i="4"/>
  <c r="G327" i="4" s="1"/>
  <c r="C76" i="4"/>
  <c r="C327" i="4" s="1"/>
  <c r="C71" i="4"/>
  <c r="I57" i="4"/>
  <c r="J57" i="4" s="1"/>
  <c r="K57" i="4" s="1"/>
  <c r="L57" i="4" s="1"/>
  <c r="I58" i="4"/>
  <c r="J58" i="4" s="1"/>
  <c r="K58" i="4" s="1"/>
  <c r="L58" i="4" s="1"/>
  <c r="I59" i="4"/>
  <c r="J59" i="4" s="1"/>
  <c r="K59" i="4" s="1"/>
  <c r="L59" i="4" s="1"/>
  <c r="I60" i="4"/>
  <c r="J60" i="4" s="1"/>
  <c r="K60" i="4" s="1"/>
  <c r="L60" i="4" s="1"/>
  <c r="I61" i="4"/>
  <c r="J61" i="4" s="1"/>
  <c r="K61" i="4" s="1"/>
  <c r="L61" i="4" s="1"/>
  <c r="C81" i="4"/>
  <c r="C43" i="4"/>
  <c r="C101" i="4" s="1"/>
  <c r="C145" i="4" s="1"/>
  <c r="C47" i="4"/>
  <c r="C55" i="4"/>
  <c r="D55" i="4"/>
  <c r="E55" i="4"/>
  <c r="F55" i="4"/>
  <c r="G55" i="4"/>
  <c r="C56" i="4"/>
  <c r="C391" i="4" s="1"/>
  <c r="D56" i="4"/>
  <c r="D391" i="4" s="1"/>
  <c r="E56" i="4"/>
  <c r="E391" i="4" s="1"/>
  <c r="F56" i="4"/>
  <c r="F391" i="4" s="1"/>
  <c r="G56" i="4"/>
  <c r="G391" i="4" s="1"/>
  <c r="C57" i="4"/>
  <c r="D57" i="4"/>
  <c r="E57" i="4"/>
  <c r="F57" i="4"/>
  <c r="G57" i="4"/>
  <c r="C58" i="4"/>
  <c r="D58" i="4"/>
  <c r="E58" i="4"/>
  <c r="F58" i="4"/>
  <c r="G58" i="4"/>
  <c r="C59" i="4"/>
  <c r="D59" i="4"/>
  <c r="E59" i="4"/>
  <c r="F59" i="4"/>
  <c r="G59" i="4"/>
  <c r="C60" i="4"/>
  <c r="D60" i="4"/>
  <c r="E60" i="4"/>
  <c r="F60" i="4"/>
  <c r="G60" i="4"/>
  <c r="C61" i="4"/>
  <c r="D61" i="4"/>
  <c r="E61" i="4"/>
  <c r="F61" i="4"/>
  <c r="G61" i="4"/>
  <c r="C65" i="4"/>
  <c r="C318" i="4" s="1"/>
  <c r="D65" i="4"/>
  <c r="D318" i="4" s="1"/>
  <c r="E65" i="4"/>
  <c r="E318" i="4" s="1"/>
  <c r="F65" i="4"/>
  <c r="F318" i="4" s="1"/>
  <c r="G65" i="4"/>
  <c r="G318" i="4" s="1"/>
  <c r="C66" i="4"/>
  <c r="D66" i="4"/>
  <c r="E66" i="4"/>
  <c r="F66" i="4"/>
  <c r="G66" i="4"/>
  <c r="C68" i="4"/>
  <c r="D68" i="4"/>
  <c r="D413" i="4" s="1"/>
  <c r="E68" i="4"/>
  <c r="E413" i="4" s="1"/>
  <c r="F68" i="4"/>
  <c r="F413" i="4" s="1"/>
  <c r="G68" i="4"/>
  <c r="G413" i="4" s="1"/>
  <c r="C69" i="4"/>
  <c r="D69" i="4"/>
  <c r="D420" i="4" s="1"/>
  <c r="E69" i="4"/>
  <c r="E420" i="4" s="1"/>
  <c r="F69" i="4"/>
  <c r="F420" i="4" s="1"/>
  <c r="G69" i="4"/>
  <c r="G420" i="4" s="1"/>
  <c r="C70" i="4"/>
  <c r="D70" i="4"/>
  <c r="E70" i="4"/>
  <c r="F70" i="4"/>
  <c r="G70" i="4"/>
  <c r="D71" i="4"/>
  <c r="E71" i="4"/>
  <c r="F71" i="4"/>
  <c r="G71" i="4"/>
  <c r="C74" i="4"/>
  <c r="E74" i="4"/>
  <c r="F74" i="4"/>
  <c r="G74" i="4"/>
  <c r="C105" i="4"/>
  <c r="D105" i="4"/>
  <c r="E105" i="4"/>
  <c r="F105" i="4"/>
  <c r="G105" i="4"/>
  <c r="H105" i="4" s="1"/>
  <c r="I105" i="4" s="1"/>
  <c r="J105" i="4" s="1"/>
  <c r="K105" i="4" s="1"/>
  <c r="L105" i="4" s="1"/>
  <c r="C106" i="4"/>
  <c r="D106" i="4"/>
  <c r="E106" i="4"/>
  <c r="F106" i="4"/>
  <c r="G106" i="4"/>
  <c r="C107" i="4"/>
  <c r="D107" i="4"/>
  <c r="E107" i="4"/>
  <c r="F107" i="4"/>
  <c r="G107" i="4"/>
  <c r="C108" i="4"/>
  <c r="D108" i="4"/>
  <c r="E108" i="4"/>
  <c r="F108" i="4"/>
  <c r="G108" i="4"/>
  <c r="C297" i="4"/>
  <c r="D297" i="4"/>
  <c r="E297" i="4"/>
  <c r="F297" i="4"/>
  <c r="G297" i="4"/>
  <c r="C298" i="4"/>
  <c r="D298" i="4"/>
  <c r="E298" i="4"/>
  <c r="F298" i="4"/>
  <c r="G298" i="4"/>
  <c r="C299" i="4"/>
  <c r="D299" i="4"/>
  <c r="E299" i="4"/>
  <c r="F299" i="4"/>
  <c r="G299" i="4"/>
  <c r="C300" i="4"/>
  <c r="D300" i="4"/>
  <c r="E300" i="4"/>
  <c r="F300" i="4"/>
  <c r="G300" i="4"/>
  <c r="C271" i="4"/>
  <c r="C278" i="4" s="1"/>
  <c r="D271" i="4"/>
  <c r="D278" i="4" s="1"/>
  <c r="E271" i="4"/>
  <c r="E278" i="4" s="1"/>
  <c r="F271" i="4"/>
  <c r="F278" i="4" s="1"/>
  <c r="G271" i="4"/>
  <c r="G278" i="4" s="1"/>
  <c r="C273" i="4"/>
  <c r="C279" i="4" s="1"/>
  <c r="D273" i="4"/>
  <c r="D279" i="4" s="1"/>
  <c r="E273" i="4"/>
  <c r="E279" i="4" s="1"/>
  <c r="F273" i="4"/>
  <c r="F279" i="4" s="1"/>
  <c r="G273" i="4"/>
  <c r="G279" i="4" s="1"/>
  <c r="C274" i="4"/>
  <c r="C280" i="4" s="1"/>
  <c r="D274" i="4"/>
  <c r="D280" i="4" s="1"/>
  <c r="E274" i="4"/>
  <c r="E280" i="4" s="1"/>
  <c r="F274" i="4"/>
  <c r="F280" i="4" s="1"/>
  <c r="G274" i="4"/>
  <c r="G280" i="4" s="1"/>
  <c r="C275" i="4"/>
  <c r="D275" i="4"/>
  <c r="E275" i="4"/>
  <c r="F275" i="4"/>
  <c r="G275" i="4"/>
  <c r="C259" i="4"/>
  <c r="D259" i="4"/>
  <c r="E259" i="4"/>
  <c r="F259" i="4"/>
  <c r="G259" i="4"/>
  <c r="C13" i="4"/>
  <c r="C45" i="4"/>
  <c r="D45" i="4"/>
  <c r="E45" i="4"/>
  <c r="F45" i="4"/>
  <c r="G45" i="4"/>
  <c r="C46" i="4"/>
  <c r="D46" i="4"/>
  <c r="E46" i="4"/>
  <c r="F46" i="4"/>
  <c r="G46" i="4"/>
  <c r="D47" i="4"/>
  <c r="E47" i="4"/>
  <c r="F47" i="4"/>
  <c r="G47" i="4"/>
  <c r="C109" i="4"/>
  <c r="D109" i="4"/>
  <c r="E109" i="4"/>
  <c r="F109" i="4"/>
  <c r="G109" i="4"/>
  <c r="H441" i="4" s="1"/>
  <c r="H444" i="4" s="1"/>
  <c r="C110" i="4"/>
  <c r="D110" i="4"/>
  <c r="E110" i="4"/>
  <c r="F110" i="4"/>
  <c r="G110" i="4"/>
  <c r="C111" i="4"/>
  <c r="D111" i="4"/>
  <c r="E111" i="4"/>
  <c r="F111" i="4"/>
  <c r="G111" i="4"/>
  <c r="H111" i="4" s="1"/>
  <c r="I111" i="4" s="1"/>
  <c r="J111" i="4" s="1"/>
  <c r="K111" i="4" s="1"/>
  <c r="L111" i="4" s="1"/>
  <c r="C112" i="4"/>
  <c r="D112" i="4"/>
  <c r="E112" i="4"/>
  <c r="F112" i="4"/>
  <c r="G112" i="4"/>
  <c r="H112" i="4" s="1"/>
  <c r="I112" i="4" s="1"/>
  <c r="J112" i="4" s="1"/>
  <c r="K112" i="4" s="1"/>
  <c r="L112" i="4" s="1"/>
  <c r="C113" i="4"/>
  <c r="D113" i="4"/>
  <c r="E113" i="4"/>
  <c r="F113" i="4"/>
  <c r="G113" i="4"/>
  <c r="H113" i="4" s="1"/>
  <c r="I113" i="4" s="1"/>
  <c r="J113" i="4" s="1"/>
  <c r="K113" i="4" s="1"/>
  <c r="L113" i="4" s="1"/>
  <c r="C114" i="4"/>
  <c r="D114" i="4"/>
  <c r="E114" i="4"/>
  <c r="F114" i="4"/>
  <c r="G114" i="4"/>
  <c r="I114" i="4" s="1"/>
  <c r="J114" i="4" s="1"/>
  <c r="K114" i="4" s="1"/>
  <c r="L114" i="4" s="1"/>
  <c r="C202" i="4"/>
  <c r="C206" i="4"/>
  <c r="D206" i="4"/>
  <c r="E206" i="4"/>
  <c r="F206" i="4"/>
  <c r="G206" i="4"/>
  <c r="C207" i="4"/>
  <c r="C218" i="4" s="1"/>
  <c r="D207" i="4"/>
  <c r="D218" i="4" s="1"/>
  <c r="E207" i="4"/>
  <c r="E218" i="4" s="1"/>
  <c r="F207" i="4"/>
  <c r="F218" i="4" s="1"/>
  <c r="G207" i="4"/>
  <c r="G218" i="4" s="1"/>
  <c r="C208" i="4"/>
  <c r="D208" i="4"/>
  <c r="E208" i="4"/>
  <c r="F208" i="4"/>
  <c r="G208" i="4"/>
  <c r="C209" i="4"/>
  <c r="C220" i="4" s="1"/>
  <c r="D209" i="4"/>
  <c r="E209" i="4"/>
  <c r="F209" i="4"/>
  <c r="G209" i="4"/>
  <c r="C256" i="4"/>
  <c r="C257" i="4"/>
  <c r="D257" i="4"/>
  <c r="E257" i="4"/>
  <c r="F257" i="4"/>
  <c r="G257" i="4"/>
  <c r="C258" i="4"/>
  <c r="D258" i="4"/>
  <c r="E258" i="4"/>
  <c r="F258" i="4"/>
  <c r="G258" i="4"/>
  <c r="C270" i="4"/>
  <c r="D133" i="4"/>
  <c r="E133" i="4"/>
  <c r="F133" i="4"/>
  <c r="G133" i="4"/>
  <c r="C133" i="4"/>
  <c r="C134" i="4"/>
  <c r="D406" i="4" s="1"/>
  <c r="D134" i="4"/>
  <c r="D409" i="4" s="1"/>
  <c r="E134" i="4"/>
  <c r="E409" i="4" s="1"/>
  <c r="F134" i="4"/>
  <c r="F409" i="4" s="1"/>
  <c r="G134" i="4"/>
  <c r="G409" i="4" s="1"/>
  <c r="C135" i="4"/>
  <c r="D412" i="4" s="1"/>
  <c r="D135" i="4"/>
  <c r="D415" i="4" s="1"/>
  <c r="E412" i="4" s="1"/>
  <c r="E135" i="4"/>
  <c r="E415" i="4" s="1"/>
  <c r="F412" i="4" s="1"/>
  <c r="F135" i="4"/>
  <c r="F415" i="4" s="1"/>
  <c r="G135" i="4"/>
  <c r="G415" i="4" s="1"/>
  <c r="E136" i="4"/>
  <c r="E421" i="4" s="1"/>
  <c r="F418" i="4" s="1"/>
  <c r="C136" i="4"/>
  <c r="D136" i="4"/>
  <c r="D421" i="4" s="1"/>
  <c r="E418" i="4" s="1"/>
  <c r="F136" i="4"/>
  <c r="F421" i="4" s="1"/>
  <c r="G418" i="4" s="1"/>
  <c r="G136" i="4"/>
  <c r="G421" i="4" s="1"/>
  <c r="H418" i="4" s="1"/>
  <c r="E137" i="4"/>
  <c r="C137" i="4"/>
  <c r="D137" i="4"/>
  <c r="F137" i="4"/>
  <c r="G137" i="4"/>
  <c r="H402" i="4" s="1"/>
  <c r="I402" i="4" s="1"/>
  <c r="J402" i="4" s="1"/>
  <c r="K402" i="4" s="1"/>
  <c r="L402" i="4" s="1"/>
  <c r="C119" i="4"/>
  <c r="C350" i="4" s="1"/>
  <c r="D119" i="4"/>
  <c r="D350" i="4" s="1"/>
  <c r="E119" i="4"/>
  <c r="E350" i="4" s="1"/>
  <c r="F119" i="4"/>
  <c r="F350" i="4" s="1"/>
  <c r="G119" i="4"/>
  <c r="G350" i="4" s="1"/>
  <c r="E120" i="4"/>
  <c r="E351" i="4" s="1"/>
  <c r="C120" i="4"/>
  <c r="C351" i="4" s="1"/>
  <c r="D120" i="4"/>
  <c r="D351" i="4" s="1"/>
  <c r="F120" i="4"/>
  <c r="F351" i="4" s="1"/>
  <c r="G120" i="4"/>
  <c r="G351" i="4" s="1"/>
  <c r="C121" i="4"/>
  <c r="C353" i="4" s="1"/>
  <c r="D121" i="4"/>
  <c r="D353" i="4" s="1"/>
  <c r="E121" i="4"/>
  <c r="E353" i="4" s="1"/>
  <c r="F121" i="4"/>
  <c r="F353" i="4" s="1"/>
  <c r="G353" i="4"/>
  <c r="C122" i="4"/>
  <c r="D122" i="4"/>
  <c r="E122" i="4"/>
  <c r="F122" i="4"/>
  <c r="G122" i="4"/>
  <c r="H323" i="4" s="1"/>
  <c r="C126" i="4"/>
  <c r="C352" i="4" s="1"/>
  <c r="D126" i="4"/>
  <c r="D352" i="4" s="1"/>
  <c r="E126" i="4"/>
  <c r="E352" i="4" s="1"/>
  <c r="F126" i="4"/>
  <c r="F352" i="4" s="1"/>
  <c r="G126" i="4"/>
  <c r="G352" i="4" s="1"/>
  <c r="E115" i="4"/>
  <c r="C115" i="4"/>
  <c r="D115" i="4"/>
  <c r="F115" i="4"/>
  <c r="G115" i="4"/>
  <c r="H115" i="4" s="1"/>
  <c r="I115" i="4" s="1"/>
  <c r="J115" i="4" s="1"/>
  <c r="K115" i="4" s="1"/>
  <c r="L115" i="4" s="1"/>
  <c r="C127" i="4"/>
  <c r="D127" i="4"/>
  <c r="E127" i="4"/>
  <c r="F127" i="4"/>
  <c r="G127" i="4"/>
  <c r="H127" i="4" s="1"/>
  <c r="I127" i="4" s="1"/>
  <c r="J127" i="4" s="1"/>
  <c r="K127" i="4" s="1"/>
  <c r="L127" i="4" s="1"/>
  <c r="C128" i="4"/>
  <c r="D128" i="4"/>
  <c r="E128" i="4"/>
  <c r="F128" i="4"/>
  <c r="G128" i="4"/>
  <c r="C129" i="4"/>
  <c r="D129" i="4"/>
  <c r="E129" i="4"/>
  <c r="F129" i="4"/>
  <c r="G129" i="4"/>
  <c r="H129" i="4" s="1"/>
  <c r="I129" i="4" s="1"/>
  <c r="J129" i="4" s="1"/>
  <c r="K129" i="4" s="1"/>
  <c r="L129" i="4" s="1"/>
  <c r="N126" i="4" l="1"/>
  <c r="I393" i="4"/>
  <c r="I384" i="4" s="1"/>
  <c r="I29" i="9" s="1"/>
  <c r="C171" i="4"/>
  <c r="C69" i="9"/>
  <c r="J147" i="4"/>
  <c r="I71" i="9"/>
  <c r="D282" i="4"/>
  <c r="C332" i="4"/>
  <c r="D175" i="4"/>
  <c r="D181" i="4" s="1"/>
  <c r="D205" i="4"/>
  <c r="C175" i="4"/>
  <c r="C184" i="4" s="1"/>
  <c r="C205" i="4"/>
  <c r="C204" i="4" s="1"/>
  <c r="G205" i="4"/>
  <c r="F205" i="4"/>
  <c r="E205" i="4"/>
  <c r="H208" i="4"/>
  <c r="H219" i="4" s="1"/>
  <c r="G282" i="4"/>
  <c r="F282" i="4"/>
  <c r="E282" i="4"/>
  <c r="H433" i="4"/>
  <c r="H434" i="4" s="1"/>
  <c r="H439" i="4" s="1"/>
  <c r="C421" i="4"/>
  <c r="D418" i="4" s="1"/>
  <c r="F283" i="4"/>
  <c r="E283" i="4"/>
  <c r="D283" i="4"/>
  <c r="G283" i="4"/>
  <c r="K12" i="5"/>
  <c r="C67" i="5" s="1"/>
  <c r="H280" i="4"/>
  <c r="H274" i="4" s="1"/>
  <c r="G261" i="4"/>
  <c r="F261" i="4"/>
  <c r="J148" i="4"/>
  <c r="J72" i="9" s="1"/>
  <c r="J149" i="4"/>
  <c r="J73" i="9" s="1"/>
  <c r="I155" i="4"/>
  <c r="I79" i="9" s="1"/>
  <c r="D225" i="4"/>
  <c r="F225" i="4"/>
  <c r="E225" i="4"/>
  <c r="E370" i="4"/>
  <c r="G225" i="4"/>
  <c r="E372" i="4"/>
  <c r="D370" i="4"/>
  <c r="C370" i="4"/>
  <c r="G372" i="4"/>
  <c r="F372" i="4"/>
  <c r="D372" i="4"/>
  <c r="C372" i="4"/>
  <c r="G370" i="4"/>
  <c r="F370" i="4"/>
  <c r="C379" i="4"/>
  <c r="C276" i="4"/>
  <c r="C277" i="4" s="1"/>
  <c r="C11" i="4" s="1"/>
  <c r="G262" i="4"/>
  <c r="F262" i="4"/>
  <c r="D262" i="4"/>
  <c r="C262" i="4"/>
  <c r="E262" i="4"/>
  <c r="E261" i="4"/>
  <c r="D261" i="4"/>
  <c r="C261" i="4"/>
  <c r="K413" i="4"/>
  <c r="K310" i="4" s="1"/>
  <c r="G62" i="4"/>
  <c r="F62" i="4"/>
  <c r="E62" i="4"/>
  <c r="D62" i="4"/>
  <c r="C62" i="4"/>
  <c r="D260" i="4"/>
  <c r="C260" i="4"/>
  <c r="C9" i="4" s="1"/>
  <c r="F260" i="4"/>
  <c r="E260" i="4"/>
  <c r="G260" i="4"/>
  <c r="G320" i="4"/>
  <c r="G332" i="4" s="1"/>
  <c r="H312" i="4"/>
  <c r="G433" i="4"/>
  <c r="G434" i="4" s="1"/>
  <c r="G439" i="4" s="1"/>
  <c r="F433" i="4"/>
  <c r="F434" i="4" s="1"/>
  <c r="F439" i="4" s="1"/>
  <c r="H412" i="4"/>
  <c r="F414" i="4"/>
  <c r="G412" i="4"/>
  <c r="G414" i="4" s="1"/>
  <c r="D414" i="4"/>
  <c r="E414" i="4"/>
  <c r="H406" i="4"/>
  <c r="H409" i="4" s="1"/>
  <c r="G406" i="4"/>
  <c r="G407" i="4" s="1"/>
  <c r="D407" i="4"/>
  <c r="E406" i="4"/>
  <c r="E407" i="4" s="1"/>
  <c r="F406" i="4"/>
  <c r="F407" i="4" s="1"/>
  <c r="I441" i="4"/>
  <c r="I444" i="4" s="1"/>
  <c r="H109" i="4"/>
  <c r="H431" i="4"/>
  <c r="C116" i="4"/>
  <c r="D317" i="4"/>
  <c r="C319" i="4"/>
  <c r="G130" i="4"/>
  <c r="F130" i="4"/>
  <c r="E130" i="4"/>
  <c r="D130" i="4"/>
  <c r="C130" i="4"/>
  <c r="E116" i="4"/>
  <c r="D116" i="4"/>
  <c r="F116" i="4"/>
  <c r="G116" i="4"/>
  <c r="C48" i="4"/>
  <c r="F48" i="4"/>
  <c r="E48" i="4"/>
  <c r="G48" i="4"/>
  <c r="D48" i="4"/>
  <c r="E301" i="4"/>
  <c r="E16" i="4" s="1"/>
  <c r="D301" i="4"/>
  <c r="D16" i="4" s="1"/>
  <c r="G301" i="4"/>
  <c r="G16" i="4" s="1"/>
  <c r="F301" i="4"/>
  <c r="F16" i="4" s="1"/>
  <c r="C301" i="4"/>
  <c r="C16" i="4" s="1"/>
  <c r="D220" i="4"/>
  <c r="G210" i="4"/>
  <c r="G213" i="4" s="1"/>
  <c r="E220" i="4"/>
  <c r="F210" i="4"/>
  <c r="G219" i="4"/>
  <c r="E210" i="4"/>
  <c r="D219" i="4"/>
  <c r="D210" i="4"/>
  <c r="F219" i="4"/>
  <c r="C210" i="4"/>
  <c r="G220" i="4"/>
  <c r="E219" i="4"/>
  <c r="F220" i="4"/>
  <c r="C138" i="4"/>
  <c r="F138" i="4"/>
  <c r="G138" i="4"/>
  <c r="E138" i="4"/>
  <c r="D138" i="4"/>
  <c r="J393" i="4" l="1"/>
  <c r="J384" i="4" s="1"/>
  <c r="J29" i="9" s="1"/>
  <c r="K147" i="4"/>
  <c r="J71" i="9"/>
  <c r="E212" i="4"/>
  <c r="C181" i="4"/>
  <c r="H288" i="4"/>
  <c r="H283" i="4" s="1" a="1"/>
  <c r="H283" i="4" s="1"/>
  <c r="F212" i="4"/>
  <c r="D204" i="4"/>
  <c r="D211" i="4" s="1"/>
  <c r="D212" i="4"/>
  <c r="G212" i="4"/>
  <c r="H236" i="4"/>
  <c r="H225" i="4" s="1" a="1"/>
  <c r="H225" i="4" s="1"/>
  <c r="D185" i="4"/>
  <c r="D184" i="4"/>
  <c r="H190" i="4" s="1"/>
  <c r="H184" i="4" s="1" a="1"/>
  <c r="H184" i="4" s="1"/>
  <c r="D183" i="4"/>
  <c r="C183" i="4"/>
  <c r="E204" i="4"/>
  <c r="E227" i="4"/>
  <c r="C185" i="4"/>
  <c r="D227" i="4"/>
  <c r="F227" i="4"/>
  <c r="G227" i="4"/>
  <c r="F204" i="4"/>
  <c r="G204" i="4"/>
  <c r="I235" i="4"/>
  <c r="I219" i="4" s="1" a="1"/>
  <c r="I219" i="4" s="1"/>
  <c r="H287" i="4"/>
  <c r="D416" i="4"/>
  <c r="E416" i="4"/>
  <c r="G416" i="4"/>
  <c r="F416" i="4"/>
  <c r="H265" i="4"/>
  <c r="H261" i="4" s="1" a="1"/>
  <c r="H261" i="4" s="1"/>
  <c r="H220" i="4"/>
  <c r="E57" i="5"/>
  <c r="E67" i="5"/>
  <c r="C57" i="5"/>
  <c r="E66" i="5"/>
  <c r="C66" i="5"/>
  <c r="E46" i="5"/>
  <c r="C56" i="5"/>
  <c r="E56" i="5"/>
  <c r="K148" i="4"/>
  <c r="K72" i="9" s="1"/>
  <c r="K149" i="4"/>
  <c r="K73" i="9" s="1"/>
  <c r="J155" i="4"/>
  <c r="J79" i="9" s="1"/>
  <c r="E181" i="4"/>
  <c r="F181" i="4"/>
  <c r="G181" i="4"/>
  <c r="H370" i="4"/>
  <c r="C47" i="5"/>
  <c r="E47" i="5"/>
  <c r="I280" i="4"/>
  <c r="I274" i="4" s="1"/>
  <c r="L413" i="4"/>
  <c r="L310" i="4" s="1"/>
  <c r="C36" i="5"/>
  <c r="C46" i="5"/>
  <c r="C35" i="5"/>
  <c r="K27" i="5"/>
  <c r="K29" i="5" s="1"/>
  <c r="E410" i="4"/>
  <c r="F410" i="4"/>
  <c r="H49" i="4"/>
  <c r="G410" i="4"/>
  <c r="I428" i="4"/>
  <c r="I433" i="4" s="1"/>
  <c r="H124" i="4"/>
  <c r="J441" i="4"/>
  <c r="I109" i="4"/>
  <c r="C141" i="4"/>
  <c r="C142" i="4" s="1"/>
  <c r="E141" i="4"/>
  <c r="G141" i="4"/>
  <c r="G142" i="4" s="1"/>
  <c r="F141" i="4"/>
  <c r="D141" i="4"/>
  <c r="D142" i="4" s="1"/>
  <c r="H278" i="4" l="1"/>
  <c r="H271" i="4" s="1"/>
  <c r="H282" i="4" a="1"/>
  <c r="H282" i="4" s="1"/>
  <c r="H194" i="4"/>
  <c r="I194" i="4" s="1"/>
  <c r="J194" i="4" s="1"/>
  <c r="K194" i="4" s="1"/>
  <c r="L194" i="4" s="1"/>
  <c r="H199" i="4"/>
  <c r="I199" i="4" s="1"/>
  <c r="J199" i="4" s="1"/>
  <c r="K199" i="4" s="1"/>
  <c r="L199" i="4" s="1"/>
  <c r="H195" i="4"/>
  <c r="I195" i="4" s="1"/>
  <c r="J195" i="4" s="1"/>
  <c r="K195" i="4" s="1"/>
  <c r="L195" i="4" s="1"/>
  <c r="H197" i="4"/>
  <c r="I197" i="4" s="1"/>
  <c r="J197" i="4" s="1"/>
  <c r="K197" i="4" s="1"/>
  <c r="L197" i="4" s="1"/>
  <c r="H193" i="4"/>
  <c r="I193" i="4" s="1"/>
  <c r="J193" i="4" s="1"/>
  <c r="K193" i="4" s="1"/>
  <c r="L193" i="4" s="1"/>
  <c r="H198" i="4"/>
  <c r="I198" i="4" s="1"/>
  <c r="J198" i="4" s="1"/>
  <c r="K198" i="4" s="1"/>
  <c r="L198" i="4" s="1"/>
  <c r="K393" i="4"/>
  <c r="K384" i="4" s="1"/>
  <c r="K29" i="9" s="1"/>
  <c r="L147" i="4"/>
  <c r="L71" i="9" s="1"/>
  <c r="K71" i="9"/>
  <c r="F215" i="4"/>
  <c r="F216" i="4"/>
  <c r="F217" i="4"/>
  <c r="E216" i="4"/>
  <c r="E11" i="9" s="1"/>
  <c r="E217" i="4"/>
  <c r="E17" i="9" s="1"/>
  <c r="E215" i="4"/>
  <c r="E5" i="9" s="1"/>
  <c r="G217" i="4"/>
  <c r="G215" i="4"/>
  <c r="G216" i="4"/>
  <c r="H189" i="4"/>
  <c r="H183" i="4" s="1" a="1"/>
  <c r="H183" i="4" s="1"/>
  <c r="F211" i="4"/>
  <c r="G211" i="4"/>
  <c r="E211" i="4"/>
  <c r="H252" i="4"/>
  <c r="I252" i="4" s="1"/>
  <c r="J252" i="4" s="1"/>
  <c r="K252" i="4" s="1"/>
  <c r="L252" i="4" s="1"/>
  <c r="H244" i="4"/>
  <c r="I244" i="4" s="1"/>
  <c r="J244" i="4" s="1"/>
  <c r="K244" i="4" s="1"/>
  <c r="L244" i="4" s="1"/>
  <c r="H237" i="4"/>
  <c r="H227" i="4" s="1" a="1"/>
  <c r="H227" i="4" s="1"/>
  <c r="I236" i="4"/>
  <c r="I225" i="4" s="1" a="1"/>
  <c r="I225" i="4" s="1"/>
  <c r="H191" i="4"/>
  <c r="H185" i="4" s="1" a="1"/>
  <c r="H185" i="4" s="1"/>
  <c r="I251" i="4"/>
  <c r="J251" i="4" s="1"/>
  <c r="K251" i="4" s="1"/>
  <c r="L251" i="4" s="1"/>
  <c r="J235" i="4"/>
  <c r="J219" i="4" s="1" a="1"/>
  <c r="J219" i="4" s="1"/>
  <c r="I243" i="4"/>
  <c r="J243" i="4" s="1"/>
  <c r="K243" i="4" s="1"/>
  <c r="L243" i="4" s="1"/>
  <c r="I288" i="4"/>
  <c r="J288" i="4" s="1"/>
  <c r="K288" i="4" s="1"/>
  <c r="L288" i="4" s="1"/>
  <c r="H294" i="4"/>
  <c r="I294" i="4" s="1"/>
  <c r="J294" i="4" s="1"/>
  <c r="K294" i="4" s="1"/>
  <c r="L294" i="4" s="1"/>
  <c r="H291" i="4"/>
  <c r="I291" i="4" s="1"/>
  <c r="J291" i="4" s="1"/>
  <c r="K291" i="4" s="1"/>
  <c r="L291" i="4" s="1"/>
  <c r="I282" i="4"/>
  <c r="J282" i="4" s="1"/>
  <c r="K282" i="4" s="1"/>
  <c r="L282" i="4" s="1"/>
  <c r="I287" i="4"/>
  <c r="J287" i="4" s="1"/>
  <c r="K287" i="4" s="1"/>
  <c r="L287" i="4" s="1"/>
  <c r="H293" i="4"/>
  <c r="I293" i="4" s="1"/>
  <c r="J293" i="4" s="1"/>
  <c r="K293" i="4" s="1"/>
  <c r="L293" i="4" s="1"/>
  <c r="H290" i="4"/>
  <c r="I290" i="4" s="1"/>
  <c r="J290" i="4" s="1"/>
  <c r="K290" i="4" s="1"/>
  <c r="L290" i="4" s="1"/>
  <c r="I283" i="4"/>
  <c r="J283" i="4" s="1"/>
  <c r="K283" i="4" s="1"/>
  <c r="L283" i="4" s="1"/>
  <c r="H279" i="4"/>
  <c r="I265" i="4"/>
  <c r="J265" i="4" s="1"/>
  <c r="K265" i="4" s="1"/>
  <c r="L265" i="4" s="1"/>
  <c r="I220" i="4"/>
  <c r="J220" i="4" s="1"/>
  <c r="K220" i="4" s="1"/>
  <c r="L220" i="4" s="1"/>
  <c r="H209" i="4"/>
  <c r="I190" i="4"/>
  <c r="I184" i="4" s="1" a="1"/>
  <c r="I184" i="4" s="1"/>
  <c r="L148" i="4"/>
  <c r="L72" i="9" s="1"/>
  <c r="L149" i="4"/>
  <c r="L73" i="9" s="1"/>
  <c r="K155" i="4"/>
  <c r="K79" i="9" s="1"/>
  <c r="I221" i="4"/>
  <c r="J280" i="4"/>
  <c r="J274" i="4" s="1"/>
  <c r="H87" i="4"/>
  <c r="K28" i="5"/>
  <c r="I407" i="4"/>
  <c r="I49" i="4" s="1"/>
  <c r="H68" i="4"/>
  <c r="H399" i="4"/>
  <c r="J190" i="4" l="1"/>
  <c r="J184" i="4" s="1" a="1"/>
  <c r="J184" i="4" s="1"/>
  <c r="I189" i="4"/>
  <c r="I183" i="4" s="1" a="1"/>
  <c r="I183" i="4" s="1"/>
  <c r="G224" i="4"/>
  <c r="G223" i="4"/>
  <c r="I208" i="4"/>
  <c r="H218" i="4"/>
  <c r="G222" i="4"/>
  <c r="L393" i="4"/>
  <c r="L384" i="4" s="1"/>
  <c r="L29" i="9" s="1"/>
  <c r="F17" i="9"/>
  <c r="F224" i="4"/>
  <c r="F11" i="9"/>
  <c r="F223" i="4"/>
  <c r="F5" i="9"/>
  <c r="F222" i="4"/>
  <c r="H217" i="4"/>
  <c r="I217" i="4" s="1"/>
  <c r="I17" i="9" s="1"/>
  <c r="G17" i="9"/>
  <c r="H216" i="4"/>
  <c r="I216" i="4" s="1"/>
  <c r="I11" i="9" s="1"/>
  <c r="G11" i="9"/>
  <c r="H215" i="4"/>
  <c r="I215" i="4" s="1"/>
  <c r="I5" i="9" s="1"/>
  <c r="G5" i="9"/>
  <c r="J236" i="4"/>
  <c r="J225" i="4" s="1" a="1"/>
  <c r="J225" i="4" s="1"/>
  <c r="K235" i="4"/>
  <c r="K219" i="4" s="1" a="1"/>
  <c r="K219" i="4" s="1"/>
  <c r="I237" i="4"/>
  <c r="I227" i="4" s="1" a="1"/>
  <c r="I227" i="4" s="1"/>
  <c r="H245" i="4"/>
  <c r="I245" i="4" s="1"/>
  <c r="J245" i="4" s="1"/>
  <c r="K245" i="4" s="1"/>
  <c r="L245" i="4" s="1"/>
  <c r="H253" i="4"/>
  <c r="I253" i="4" s="1"/>
  <c r="J253" i="4" s="1"/>
  <c r="K253" i="4" s="1"/>
  <c r="L253" i="4" s="1"/>
  <c r="I191" i="4"/>
  <c r="I185" i="4" s="1" a="1"/>
  <c r="I185" i="4" s="1"/>
  <c r="I278" i="4"/>
  <c r="I279" i="4"/>
  <c r="H273" i="4"/>
  <c r="I209" i="4"/>
  <c r="J209" i="4" s="1"/>
  <c r="K209" i="4" s="1"/>
  <c r="L209" i="4" s="1"/>
  <c r="L155" i="4"/>
  <c r="L79" i="9" s="1"/>
  <c r="J221" i="4"/>
  <c r="K221" i="4" s="1"/>
  <c r="L221" i="4" s="1"/>
  <c r="K280" i="4"/>
  <c r="K274" i="4" s="1"/>
  <c r="H415" i="4"/>
  <c r="I87" i="4"/>
  <c r="J407" i="4"/>
  <c r="J49" i="4" s="1"/>
  <c r="I414" i="4"/>
  <c r="I406" i="4"/>
  <c r="H134" i="4"/>
  <c r="J191" i="4" l="1"/>
  <c r="J185" i="4" s="1" a="1"/>
  <c r="J185" i="4" s="1"/>
  <c r="J189" i="4"/>
  <c r="J183" i="4" s="1" a="1"/>
  <c r="J183" i="4" s="1"/>
  <c r="K190" i="4"/>
  <c r="K184" i="4" s="1" a="1"/>
  <c r="K184" i="4" s="1"/>
  <c r="H232" i="4"/>
  <c r="H233" i="4"/>
  <c r="H223" i="4" s="1" a="1"/>
  <c r="H223" i="4" s="1"/>
  <c r="H234" i="4"/>
  <c r="H224" i="4" s="1" a="1"/>
  <c r="H224" i="4" s="1"/>
  <c r="H205" i="4"/>
  <c r="H212" i="4" s="1"/>
  <c r="H172" i="4"/>
  <c r="H5" i="9"/>
  <c r="H23" i="9" s="1"/>
  <c r="H173" i="4"/>
  <c r="H11" i="9"/>
  <c r="H174" i="4"/>
  <c r="H17" i="9"/>
  <c r="L235" i="4"/>
  <c r="L219" i="4" s="1" a="1"/>
  <c r="L219" i="4" s="1"/>
  <c r="K236" i="4"/>
  <c r="K225" i="4" s="1" a="1"/>
  <c r="K225" i="4" s="1"/>
  <c r="I218" i="4"/>
  <c r="I207" i="4" s="1"/>
  <c r="J237" i="4"/>
  <c r="J227" i="4" s="1" a="1"/>
  <c r="J227" i="4" s="1"/>
  <c r="H207" i="4"/>
  <c r="J208" i="4"/>
  <c r="J278" i="4"/>
  <c r="I271" i="4"/>
  <c r="J279" i="4"/>
  <c r="I273" i="4"/>
  <c r="I68" i="4"/>
  <c r="I408" i="4"/>
  <c r="I409" i="4" s="1"/>
  <c r="I399" i="4" s="1"/>
  <c r="I412" i="4"/>
  <c r="I415" i="4" s="1"/>
  <c r="I400" i="4" s="1"/>
  <c r="H400" i="4"/>
  <c r="H135" i="4" s="1"/>
  <c r="J215" i="4"/>
  <c r="J5" i="9" s="1"/>
  <c r="I172" i="4"/>
  <c r="J216" i="4"/>
  <c r="J11" i="9" s="1"/>
  <c r="I173" i="4"/>
  <c r="J217" i="4"/>
  <c r="J17" i="9" s="1"/>
  <c r="I174" i="4"/>
  <c r="L280" i="4"/>
  <c r="L274" i="4" s="1"/>
  <c r="J87" i="4"/>
  <c r="K407" i="4"/>
  <c r="K49" i="4" s="1"/>
  <c r="J414" i="4"/>
  <c r="H248" i="4" l="1"/>
  <c r="H222" i="4" a="1"/>
  <c r="H222" i="4" s="1"/>
  <c r="I222" i="4" s="1"/>
  <c r="J222" i="4" s="1"/>
  <c r="L190" i="4"/>
  <c r="L184" i="4" s="1" a="1"/>
  <c r="L184" i="4" s="1"/>
  <c r="K189" i="4"/>
  <c r="K183" i="4" s="1" a="1"/>
  <c r="K183" i="4" s="1"/>
  <c r="K191" i="4"/>
  <c r="K185" i="4" s="1" a="1"/>
  <c r="K185" i="4" s="1"/>
  <c r="H240" i="4"/>
  <c r="I232" i="4"/>
  <c r="J232" i="4" s="1"/>
  <c r="H249" i="4"/>
  <c r="H241" i="4"/>
  <c r="I233" i="4"/>
  <c r="I234" i="4"/>
  <c r="H250" i="4"/>
  <c r="H242" i="4"/>
  <c r="I248" i="4"/>
  <c r="J248" i="4" s="1"/>
  <c r="K248" i="4" s="1"/>
  <c r="L248" i="4" s="1"/>
  <c r="I205" i="4"/>
  <c r="I212" i="4" s="1"/>
  <c r="H175" i="4"/>
  <c r="J218" i="4"/>
  <c r="J207" i="4" s="1"/>
  <c r="L236" i="4"/>
  <c r="L225" i="4" s="1" a="1"/>
  <c r="L225" i="4" s="1"/>
  <c r="K237" i="4"/>
  <c r="K227" i="4" s="1" a="1"/>
  <c r="K227" i="4" s="1"/>
  <c r="K208" i="4"/>
  <c r="L208" i="4" s="1"/>
  <c r="K278" i="4"/>
  <c r="J271" i="4"/>
  <c r="K279" i="4"/>
  <c r="J273" i="4"/>
  <c r="J406" i="4"/>
  <c r="J68" i="4"/>
  <c r="J408" i="4"/>
  <c r="K216" i="4"/>
  <c r="K11" i="9" s="1"/>
  <c r="J173" i="4"/>
  <c r="J172" i="4"/>
  <c r="K215" i="4"/>
  <c r="K5" i="9" s="1"/>
  <c r="K217" i="4"/>
  <c r="K17" i="9" s="1"/>
  <c r="J174" i="4"/>
  <c r="I175" i="4"/>
  <c r="K87" i="4"/>
  <c r="L407" i="4"/>
  <c r="L49" i="4" s="1"/>
  <c r="K414" i="4"/>
  <c r="J412" i="4"/>
  <c r="J415" i="4" s="1"/>
  <c r="J400" i="4" s="1"/>
  <c r="I135" i="4"/>
  <c r="L191" i="4" l="1"/>
  <c r="L185" i="4" s="1" a="1"/>
  <c r="L185" i="4" s="1"/>
  <c r="I240" i="4"/>
  <c r="L189" i="4"/>
  <c r="L183" i="4" s="1" a="1"/>
  <c r="L183" i="4" s="1"/>
  <c r="K232" i="4"/>
  <c r="J240" i="4"/>
  <c r="I250" i="4"/>
  <c r="J250" i="4" s="1"/>
  <c r="K250" i="4" s="1"/>
  <c r="L250" i="4" s="1"/>
  <c r="I224" i="4"/>
  <c r="J224" i="4" s="1"/>
  <c r="K224" i="4" s="1"/>
  <c r="L224" i="4" s="1"/>
  <c r="I241" i="4"/>
  <c r="J233" i="4"/>
  <c r="J234" i="4"/>
  <c r="I242" i="4"/>
  <c r="I249" i="4"/>
  <c r="J249" i="4" s="1"/>
  <c r="K249" i="4" s="1"/>
  <c r="L249" i="4" s="1"/>
  <c r="I223" i="4"/>
  <c r="J223" i="4" s="1"/>
  <c r="K223" i="4" s="1"/>
  <c r="L223" i="4" s="1"/>
  <c r="J205" i="4"/>
  <c r="J212" i="4" s="1"/>
  <c r="K222" i="4"/>
  <c r="L222" i="4" s="1"/>
  <c r="K218" i="4"/>
  <c r="K207" i="4" s="1"/>
  <c r="H179" i="4"/>
  <c r="H178" i="4"/>
  <c r="H177" i="4"/>
  <c r="L237" i="4"/>
  <c r="L227" i="4" s="1" a="1"/>
  <c r="L227" i="4" s="1"/>
  <c r="L278" i="4"/>
  <c r="L271" i="4" s="1"/>
  <c r="K271" i="4"/>
  <c r="L279" i="4"/>
  <c r="L273" i="4" s="1"/>
  <c r="K273" i="4"/>
  <c r="J409" i="4"/>
  <c r="J399" i="4" s="1"/>
  <c r="K68" i="4"/>
  <c r="K408" i="4"/>
  <c r="J175" i="4"/>
  <c r="I178" i="4"/>
  <c r="I177" i="4"/>
  <c r="I179" i="4"/>
  <c r="L217" i="4"/>
  <c r="K174" i="4"/>
  <c r="L215" i="4"/>
  <c r="K172" i="4"/>
  <c r="L216" i="4"/>
  <c r="K173" i="4"/>
  <c r="L414" i="4"/>
  <c r="L87" i="4"/>
  <c r="J135" i="4"/>
  <c r="K412" i="4"/>
  <c r="K415" i="4" s="1"/>
  <c r="K400" i="4" s="1"/>
  <c r="C344" i="4"/>
  <c r="C365" i="4" s="1"/>
  <c r="C336" i="4"/>
  <c r="D335" i="4"/>
  <c r="D332" i="4" s="1"/>
  <c r="D336" i="4"/>
  <c r="D380" i="4"/>
  <c r="E380" i="4"/>
  <c r="F380" i="4"/>
  <c r="G380" i="4"/>
  <c r="C380" i="4"/>
  <c r="C376" i="4"/>
  <c r="C392" i="4" s="1"/>
  <c r="D378" i="4"/>
  <c r="E378" i="4"/>
  <c r="F378" i="4"/>
  <c r="G378" i="4"/>
  <c r="C378" i="4"/>
  <c r="C375" i="4"/>
  <c r="C342" i="4"/>
  <c r="D344" i="4"/>
  <c r="D365" i="4" s="1"/>
  <c r="E344" i="4"/>
  <c r="E365" i="4" s="1"/>
  <c r="F344" i="4"/>
  <c r="F365" i="4" s="1"/>
  <c r="G344" i="4"/>
  <c r="G365" i="4" s="1"/>
  <c r="D345" i="4"/>
  <c r="D366" i="4" s="1"/>
  <c r="E345" i="4"/>
  <c r="E366" i="4" s="1"/>
  <c r="F345" i="4"/>
  <c r="F366" i="4" s="1"/>
  <c r="G345" i="4"/>
  <c r="G366" i="4" s="1"/>
  <c r="D346" i="4"/>
  <c r="E346" i="4"/>
  <c r="F346" i="4"/>
  <c r="G346" i="4"/>
  <c r="C345" i="4"/>
  <c r="C366" i="4" s="1"/>
  <c r="H20" i="4"/>
  <c r="I20" i="4" s="1"/>
  <c r="J20" i="4" s="1"/>
  <c r="K20" i="4" s="1"/>
  <c r="L20" i="4" s="1"/>
  <c r="H19" i="4"/>
  <c r="I19" i="4" s="1"/>
  <c r="J19" i="4" s="1"/>
  <c r="K19" i="4" s="1"/>
  <c r="L19" i="4" s="1"/>
  <c r="E13" i="4"/>
  <c r="D13" i="4"/>
  <c r="C18" i="4"/>
  <c r="D19" i="4"/>
  <c r="E19" i="4"/>
  <c r="F19" i="4"/>
  <c r="G19" i="4"/>
  <c r="D20" i="4"/>
  <c r="E20" i="4"/>
  <c r="F20" i="4"/>
  <c r="G20" i="4"/>
  <c r="C20" i="4"/>
  <c r="C19" i="4"/>
  <c r="D18" i="4"/>
  <c r="E18" i="4"/>
  <c r="F18" i="4"/>
  <c r="G18" i="4"/>
  <c r="E336" i="4"/>
  <c r="F336" i="4"/>
  <c r="G336" i="4"/>
  <c r="E335" i="4"/>
  <c r="E332" i="4" s="1"/>
  <c r="F335" i="4"/>
  <c r="F332" i="4" s="1"/>
  <c r="C307" i="4"/>
  <c r="G13" i="4"/>
  <c r="F13" i="4"/>
  <c r="D7" i="4"/>
  <c r="D3" i="9" s="1"/>
  <c r="C3" i="4"/>
  <c r="K233" i="4" l="1"/>
  <c r="J241" i="4"/>
  <c r="K234" i="4"/>
  <c r="J242" i="4"/>
  <c r="L232" i="4"/>
  <c r="L240" i="4" s="1"/>
  <c r="K240" i="4"/>
  <c r="K205" i="4"/>
  <c r="K212" i="4" s="1"/>
  <c r="L218" i="4"/>
  <c r="L207" i="4" s="1"/>
  <c r="G276" i="4"/>
  <c r="G277" i="4" s="1"/>
  <c r="G11" i="4" s="1"/>
  <c r="G28" i="4"/>
  <c r="D276" i="4"/>
  <c r="D277" i="4" s="1"/>
  <c r="D11" i="4" s="1"/>
  <c r="D28" i="4"/>
  <c r="F276" i="4"/>
  <c r="F277" i="4" s="1"/>
  <c r="F11" i="4" s="1"/>
  <c r="F28" i="4"/>
  <c r="E276" i="4"/>
  <c r="E277" i="4" s="1"/>
  <c r="E11" i="4" s="1"/>
  <c r="E28" i="4"/>
  <c r="H180" i="4"/>
  <c r="H181" i="4" s="1"/>
  <c r="H204" i="4" s="1"/>
  <c r="H206" i="4" s="1"/>
  <c r="H210" i="4" s="1"/>
  <c r="H8" i="4" s="1"/>
  <c r="Q65" i="10" s="1"/>
  <c r="L172" i="4"/>
  <c r="L5" i="9"/>
  <c r="L173" i="4"/>
  <c r="L11" i="9"/>
  <c r="L174" i="4"/>
  <c r="L17" i="9"/>
  <c r="H332" i="4"/>
  <c r="K406" i="4"/>
  <c r="K409" i="4" s="1"/>
  <c r="K399" i="4" s="1"/>
  <c r="L68" i="4"/>
  <c r="L408" i="4"/>
  <c r="D396" i="4"/>
  <c r="D427" i="4" s="1"/>
  <c r="D447" i="4" s="1"/>
  <c r="K175" i="4"/>
  <c r="K177" i="4" s="1"/>
  <c r="I180" i="4"/>
  <c r="I181" i="4" s="1"/>
  <c r="J177" i="4"/>
  <c r="J179" i="4"/>
  <c r="J178" i="4"/>
  <c r="H366" i="4"/>
  <c r="H365" i="4"/>
  <c r="C377" i="4"/>
  <c r="C383" i="4"/>
  <c r="H376" i="4"/>
  <c r="F376" i="4"/>
  <c r="F392" i="4" s="1"/>
  <c r="E376" i="4"/>
  <c r="E392" i="4" s="1"/>
  <c r="K135" i="4"/>
  <c r="L412" i="4"/>
  <c r="L415" i="4" s="1"/>
  <c r="E98" i="4"/>
  <c r="D98" i="4"/>
  <c r="F98" i="4"/>
  <c r="C98" i="4"/>
  <c r="G98" i="4"/>
  <c r="D43" i="4"/>
  <c r="D101" i="4" s="1"/>
  <c r="D145" i="4" s="1"/>
  <c r="D81" i="4"/>
  <c r="D202" i="4"/>
  <c r="D270" i="4"/>
  <c r="D256" i="4"/>
  <c r="D9" i="4" s="1"/>
  <c r="D369" i="4" s="1"/>
  <c r="E7" i="4"/>
  <c r="E3" i="9" s="1"/>
  <c r="E142" i="4"/>
  <c r="F142" i="4"/>
  <c r="E371" i="4"/>
  <c r="C371" i="4"/>
  <c r="D371" i="4"/>
  <c r="G371" i="4"/>
  <c r="F371" i="4"/>
  <c r="G347" i="4"/>
  <c r="F347" i="4"/>
  <c r="E347" i="4"/>
  <c r="D347" i="4"/>
  <c r="D376" i="4"/>
  <c r="D392" i="4" s="1"/>
  <c r="C346" i="4"/>
  <c r="C337" i="4"/>
  <c r="C15" i="4" s="1"/>
  <c r="D319" i="4"/>
  <c r="F319" i="4"/>
  <c r="E319" i="4"/>
  <c r="G376" i="4"/>
  <c r="G392" i="4" s="1"/>
  <c r="G379" i="4"/>
  <c r="F379" i="4"/>
  <c r="E379" i="4"/>
  <c r="D379" i="4"/>
  <c r="D375" i="4"/>
  <c r="D342" i="4"/>
  <c r="G337" i="4"/>
  <c r="G15" i="4" s="1"/>
  <c r="C8" i="4"/>
  <c r="C25" i="4" s="1"/>
  <c r="F337" i="4"/>
  <c r="F15" i="4" s="1"/>
  <c r="E337" i="4"/>
  <c r="E15" i="4" s="1"/>
  <c r="D337" i="4"/>
  <c r="D15" i="4" s="1"/>
  <c r="D307" i="4"/>
  <c r="G8" i="4"/>
  <c r="F8" i="4"/>
  <c r="D8" i="4"/>
  <c r="E8" i="4"/>
  <c r="L205" i="4" l="1"/>
  <c r="L212" i="4" s="1"/>
  <c r="G25" i="4"/>
  <c r="D27" i="4"/>
  <c r="D25" i="4"/>
  <c r="E25" i="4"/>
  <c r="F25" i="4"/>
  <c r="L233" i="4"/>
  <c r="L241" i="4" s="1"/>
  <c r="K241" i="4"/>
  <c r="L234" i="4"/>
  <c r="L242" i="4" s="1"/>
  <c r="K242" i="4"/>
  <c r="E27" i="4"/>
  <c r="G27" i="4"/>
  <c r="F27" i="4"/>
  <c r="D171" i="4"/>
  <c r="D69" i="9"/>
  <c r="C385" i="4"/>
  <c r="C30" i="9" s="1"/>
  <c r="C28" i="9"/>
  <c r="H211" i="4"/>
  <c r="L175" i="4"/>
  <c r="L179" i="4" s="1"/>
  <c r="I204" i="4"/>
  <c r="L406" i="4"/>
  <c r="L409" i="4" s="1"/>
  <c r="L399" i="4" s="1"/>
  <c r="L400" i="4"/>
  <c r="L135" i="4" s="1"/>
  <c r="E396" i="4"/>
  <c r="E427" i="4" s="1"/>
  <c r="E447" i="4" s="1"/>
  <c r="K22" i="5"/>
  <c r="K178" i="4"/>
  <c r="K179" i="4"/>
  <c r="J180" i="4"/>
  <c r="J181" i="4" s="1"/>
  <c r="D383" i="4"/>
  <c r="E383" i="4"/>
  <c r="G383" i="4"/>
  <c r="G377" i="4"/>
  <c r="F383" i="4"/>
  <c r="E377" i="4"/>
  <c r="D377" i="4"/>
  <c r="F377" i="4"/>
  <c r="C302" i="4"/>
  <c r="C303" i="4"/>
  <c r="E303" i="4"/>
  <c r="E302" i="4"/>
  <c r="D302" i="4"/>
  <c r="D303" i="4"/>
  <c r="F302" i="4"/>
  <c r="F303" i="4"/>
  <c r="G302" i="4"/>
  <c r="G303" i="4"/>
  <c r="H392" i="4"/>
  <c r="H98" i="4"/>
  <c r="D389" i="4"/>
  <c r="D96" i="4"/>
  <c r="D97" i="4"/>
  <c r="F97" i="4"/>
  <c r="F96" i="4"/>
  <c r="G97" i="4"/>
  <c r="G96" i="4"/>
  <c r="E97" i="4"/>
  <c r="E96" i="4"/>
  <c r="C96" i="4"/>
  <c r="C97" i="4"/>
  <c r="E43" i="4"/>
  <c r="E101" i="4" s="1"/>
  <c r="E145" i="4" s="1"/>
  <c r="E81" i="4"/>
  <c r="C10" i="4"/>
  <c r="E389" i="4"/>
  <c r="F389" i="4"/>
  <c r="C389" i="4"/>
  <c r="I366" i="4"/>
  <c r="G389" i="4"/>
  <c r="E256" i="4"/>
  <c r="E9" i="4" s="1"/>
  <c r="E369" i="4" s="1"/>
  <c r="E270" i="4"/>
  <c r="E202" i="4"/>
  <c r="E342" i="4"/>
  <c r="F7" i="4"/>
  <c r="F3" i="9" s="1"/>
  <c r="E375" i="4"/>
  <c r="E307" i="4"/>
  <c r="C369" i="4"/>
  <c r="H371" i="4"/>
  <c r="H352" i="4" s="1"/>
  <c r="H126" i="4" s="1"/>
  <c r="F367" i="4"/>
  <c r="C347" i="4"/>
  <c r="C367" i="4"/>
  <c r="D367" i="4"/>
  <c r="G367" i="4"/>
  <c r="E367" i="4"/>
  <c r="C388" i="4"/>
  <c r="D10" i="4"/>
  <c r="G387" i="4" l="1"/>
  <c r="H387" i="4" s="1"/>
  <c r="G28" i="9"/>
  <c r="E171" i="4"/>
  <c r="E69" i="9"/>
  <c r="E387" i="4"/>
  <c r="E28" i="9"/>
  <c r="D385" i="4"/>
  <c r="D30" i="9" s="1"/>
  <c r="D28" i="9"/>
  <c r="F387" i="4"/>
  <c r="F28" i="9"/>
  <c r="L178" i="4"/>
  <c r="L177" i="4"/>
  <c r="M174" i="4"/>
  <c r="M173" i="4"/>
  <c r="M172" i="4"/>
  <c r="I206" i="4"/>
  <c r="I210" i="4" s="1"/>
  <c r="I211" i="4"/>
  <c r="J204" i="4"/>
  <c r="H302" i="4"/>
  <c r="I302" i="4" s="1"/>
  <c r="J302" i="4" s="1"/>
  <c r="K302" i="4" s="1"/>
  <c r="L302" i="4" s="1"/>
  <c r="H303" i="4"/>
  <c r="I303" i="4" s="1"/>
  <c r="J303" i="4" s="1"/>
  <c r="K303" i="4" s="1"/>
  <c r="L303" i="4" s="1"/>
  <c r="D12" i="4"/>
  <c r="D23" i="4"/>
  <c r="C12" i="4"/>
  <c r="C14" i="4" s="1"/>
  <c r="C17" i="4" s="1"/>
  <c r="C23" i="4"/>
  <c r="F396" i="4"/>
  <c r="F427" i="4" s="1"/>
  <c r="F447" i="4" s="1"/>
  <c r="K180" i="4"/>
  <c r="K181" i="4" s="1"/>
  <c r="H389" i="4"/>
  <c r="I389" i="4" s="1"/>
  <c r="J389" i="4" s="1"/>
  <c r="K389" i="4" s="1"/>
  <c r="L389" i="4" s="1"/>
  <c r="H367" i="4"/>
  <c r="I367" i="4" s="1"/>
  <c r="J367" i="4" s="1"/>
  <c r="K367" i="4" s="1"/>
  <c r="L367" i="4" s="1"/>
  <c r="F385" i="4"/>
  <c r="F30" i="9" s="1"/>
  <c r="G385" i="4"/>
  <c r="G30" i="9" s="1"/>
  <c r="E385" i="4"/>
  <c r="E30" i="9" s="1"/>
  <c r="E388" i="4"/>
  <c r="H257" i="4"/>
  <c r="I392" i="4"/>
  <c r="J392" i="4" s="1"/>
  <c r="H391" i="4"/>
  <c r="H262" i="4"/>
  <c r="H258" i="4" s="1"/>
  <c r="I98" i="4"/>
  <c r="J98" i="4" s="1"/>
  <c r="H97" i="4"/>
  <c r="H96" i="4"/>
  <c r="F43" i="4"/>
  <c r="F101" i="4" s="1"/>
  <c r="F145" i="4" s="1"/>
  <c r="F81" i="4"/>
  <c r="E10" i="4"/>
  <c r="F256" i="4"/>
  <c r="F9" i="4" s="1"/>
  <c r="F202" i="4"/>
  <c r="F270" i="4"/>
  <c r="G7" i="4"/>
  <c r="G3" i="9" s="1"/>
  <c r="F342" i="4"/>
  <c r="F307" i="4"/>
  <c r="F375" i="4"/>
  <c r="J366" i="4"/>
  <c r="H372" i="4"/>
  <c r="I371" i="4"/>
  <c r="I352" i="4" s="1"/>
  <c r="I126" i="4" s="1"/>
  <c r="F388" i="4"/>
  <c r="G388" i="4"/>
  <c r="D388" i="4"/>
  <c r="D24" i="4" l="1"/>
  <c r="D24" i="9" s="1"/>
  <c r="D26" i="4"/>
  <c r="F171" i="4"/>
  <c r="F69" i="9"/>
  <c r="L180" i="4"/>
  <c r="L181" i="4" s="1"/>
  <c r="L204" i="4" s="1"/>
  <c r="J206" i="4"/>
  <c r="J210" i="4" s="1"/>
  <c r="J211" i="4"/>
  <c r="K204" i="4"/>
  <c r="D14" i="4"/>
  <c r="D17" i="4" s="1"/>
  <c r="D34" i="4" s="1"/>
  <c r="C24" i="4"/>
  <c r="C24" i="9" s="1"/>
  <c r="G396" i="4"/>
  <c r="G427" i="4" s="1"/>
  <c r="G447" i="4" s="1"/>
  <c r="E12" i="4"/>
  <c r="E23" i="4"/>
  <c r="H383" i="4"/>
  <c r="H28" i="9" s="1"/>
  <c r="H33" i="9" s="1"/>
  <c r="I33" i="9" s="1"/>
  <c r="J33" i="9" s="1"/>
  <c r="K33" i="9" s="1"/>
  <c r="L33" i="9" s="1"/>
  <c r="H388" i="4"/>
  <c r="I388" i="4" s="1"/>
  <c r="J388" i="4" s="1"/>
  <c r="K388" i="4" s="1"/>
  <c r="L388" i="4" s="1"/>
  <c r="I372" i="4"/>
  <c r="H353" i="4"/>
  <c r="K366" i="4"/>
  <c r="I365" i="4"/>
  <c r="H344" i="4"/>
  <c r="I387" i="4"/>
  <c r="I262" i="4"/>
  <c r="I261" i="4"/>
  <c r="H345" i="4"/>
  <c r="H56" i="4"/>
  <c r="H378" i="4"/>
  <c r="K392" i="4"/>
  <c r="I96" i="4"/>
  <c r="I97" i="4"/>
  <c r="K98" i="4"/>
  <c r="G43" i="4"/>
  <c r="G101" i="4" s="1"/>
  <c r="G145" i="4" s="1"/>
  <c r="G81" i="4"/>
  <c r="F369" i="4"/>
  <c r="F10" i="4"/>
  <c r="C34" i="4"/>
  <c r="G256" i="4"/>
  <c r="G9" i="4" s="1"/>
  <c r="G202" i="4"/>
  <c r="G270" i="4"/>
  <c r="H7" i="4"/>
  <c r="G307" i="4"/>
  <c r="G342" i="4"/>
  <c r="G375" i="4"/>
  <c r="J371" i="4"/>
  <c r="J352" i="4" s="1"/>
  <c r="J126" i="4" s="1"/>
  <c r="E24" i="4" l="1"/>
  <c r="E24" i="9" s="1"/>
  <c r="E6" i="9" s="1"/>
  <c r="E26" i="4"/>
  <c r="G171" i="4"/>
  <c r="G69" i="9"/>
  <c r="E14" i="4"/>
  <c r="E17" i="4" s="1"/>
  <c r="E34" i="4" s="1"/>
  <c r="H396" i="4"/>
  <c r="H427" i="4" s="1"/>
  <c r="H447" i="4" s="1"/>
  <c r="H3" i="9"/>
  <c r="K206" i="4"/>
  <c r="K210" i="4" s="1"/>
  <c r="K211" i="4"/>
  <c r="L206" i="4"/>
  <c r="L210" i="4" s="1"/>
  <c r="L211" i="4"/>
  <c r="D21" i="4"/>
  <c r="D30" i="4" s="1"/>
  <c r="F12" i="4"/>
  <c r="F26" i="4" s="1"/>
  <c r="F23" i="4"/>
  <c r="J387" i="4"/>
  <c r="I383" i="4"/>
  <c r="I28" i="9" s="1"/>
  <c r="J372" i="4"/>
  <c r="I353" i="4"/>
  <c r="L366" i="4"/>
  <c r="J365" i="4"/>
  <c r="H385" i="4"/>
  <c r="H30" i="9" s="1"/>
  <c r="J261" i="4"/>
  <c r="I257" i="4"/>
  <c r="I345" i="4" s="1"/>
  <c r="J262" i="4"/>
  <c r="I258" i="4"/>
  <c r="H299" i="4"/>
  <c r="H300" i="4"/>
  <c r="H351" i="4"/>
  <c r="D8" i="5"/>
  <c r="L392" i="4"/>
  <c r="L98" i="4"/>
  <c r="J97" i="4"/>
  <c r="J96" i="4"/>
  <c r="H43" i="4"/>
  <c r="H101" i="4" s="1"/>
  <c r="H145" i="4" s="1"/>
  <c r="H81" i="4"/>
  <c r="I370" i="4"/>
  <c r="J370" i="4" s="1"/>
  <c r="K370" i="4" s="1"/>
  <c r="G369" i="4"/>
  <c r="H369" i="4" s="1"/>
  <c r="G10" i="4"/>
  <c r="C21" i="4"/>
  <c r="H256" i="4"/>
  <c r="H202" i="4"/>
  <c r="H270" i="4"/>
  <c r="I7" i="4"/>
  <c r="H342" i="4"/>
  <c r="H307" i="4"/>
  <c r="H375" i="4"/>
  <c r="I8" i="4"/>
  <c r="R65" i="10" s="1"/>
  <c r="K371" i="4"/>
  <c r="K352" i="4" s="1"/>
  <c r="K126" i="4" s="1"/>
  <c r="H106" i="4"/>
  <c r="H121" i="4"/>
  <c r="H107" i="4"/>
  <c r="H346" i="4"/>
  <c r="H108" i="4" s="1"/>
  <c r="C29" i="4" l="1"/>
  <c r="C30" i="4"/>
  <c r="D419" i="4"/>
  <c r="D424" i="4" s="1"/>
  <c r="D29" i="4"/>
  <c r="C63" i="9"/>
  <c r="C57" i="9"/>
  <c r="C51" i="9"/>
  <c r="E21" i="4"/>
  <c r="E30" i="4" s="1"/>
  <c r="E18" i="9"/>
  <c r="E12" i="9"/>
  <c r="F14" i="4"/>
  <c r="F17" i="4" s="1"/>
  <c r="F34" i="4" s="1"/>
  <c r="I396" i="4"/>
  <c r="I427" i="4" s="1"/>
  <c r="I447" i="4" s="1"/>
  <c r="I3" i="9"/>
  <c r="H171" i="4"/>
  <c r="H69" i="9"/>
  <c r="F24" i="4"/>
  <c r="F24" i="9" s="1"/>
  <c r="G12" i="4"/>
  <c r="G26" i="4" s="1"/>
  <c r="G23" i="4"/>
  <c r="K372" i="4"/>
  <c r="J353" i="4"/>
  <c r="K387" i="4"/>
  <c r="J383" i="4"/>
  <c r="J28" i="9" s="1"/>
  <c r="I344" i="4"/>
  <c r="I106" i="4" s="1"/>
  <c r="K365" i="4"/>
  <c r="I369" i="4"/>
  <c r="J369" i="4" s="1"/>
  <c r="K369" i="4" s="1"/>
  <c r="L369" i="4" s="1"/>
  <c r="H377" i="4"/>
  <c r="H379" i="4"/>
  <c r="H276" i="4" s="1"/>
  <c r="I385" i="4"/>
  <c r="I30" i="9" s="1"/>
  <c r="K262" i="4"/>
  <c r="J258" i="4"/>
  <c r="K261" i="4"/>
  <c r="J257" i="4"/>
  <c r="J345" i="4" s="1"/>
  <c r="I299" i="4"/>
  <c r="I300" i="4"/>
  <c r="H301" i="4"/>
  <c r="H16" i="4" s="1"/>
  <c r="I351" i="4"/>
  <c r="H260" i="4"/>
  <c r="H9" i="4" s="1"/>
  <c r="H10" i="4" s="1"/>
  <c r="H23" i="4" s="1"/>
  <c r="E8" i="5"/>
  <c r="K96" i="4"/>
  <c r="K97" i="4"/>
  <c r="I43" i="4"/>
  <c r="I101" i="4" s="1"/>
  <c r="I145" i="4" s="1"/>
  <c r="I81" i="4"/>
  <c r="I256" i="4"/>
  <c r="I202" i="4"/>
  <c r="I270" i="4"/>
  <c r="J7" i="4"/>
  <c r="I375" i="4"/>
  <c r="I342" i="4"/>
  <c r="I307" i="4"/>
  <c r="J8" i="4"/>
  <c r="S65" i="10" s="1"/>
  <c r="L371" i="4"/>
  <c r="L352" i="4" s="1"/>
  <c r="L126" i="4" s="1"/>
  <c r="H347" i="4"/>
  <c r="L370" i="4"/>
  <c r="I121" i="4"/>
  <c r="I346" i="4"/>
  <c r="I108" i="4" s="1"/>
  <c r="I107" i="4"/>
  <c r="E419" i="4" l="1"/>
  <c r="E424" i="4" s="1"/>
  <c r="E29" i="4"/>
  <c r="D63" i="9"/>
  <c r="D57" i="9"/>
  <c r="D51" i="9"/>
  <c r="E452" i="4"/>
  <c r="F21" i="4"/>
  <c r="F30" i="4" s="1"/>
  <c r="I171" i="4"/>
  <c r="I69" i="9"/>
  <c r="J396" i="4"/>
  <c r="J427" i="4" s="1"/>
  <c r="J447" i="4" s="1"/>
  <c r="J3" i="9"/>
  <c r="G14" i="4"/>
  <c r="G17" i="4" s="1"/>
  <c r="G34" i="4" s="1"/>
  <c r="H38" i="4" s="1"/>
  <c r="F12" i="9"/>
  <c r="F18" i="9"/>
  <c r="F6" i="9"/>
  <c r="G24" i="4"/>
  <c r="G24" i="9" s="1"/>
  <c r="H55" i="4"/>
  <c r="H62" i="4" s="1"/>
  <c r="H277" i="4"/>
  <c r="H11" i="4" s="1"/>
  <c r="H25" i="4" s="1"/>
  <c r="L387" i="4"/>
  <c r="L383" i="4" s="1"/>
  <c r="L28" i="9" s="1"/>
  <c r="K383" i="4"/>
  <c r="K28" i="9" s="1"/>
  <c r="L372" i="4"/>
  <c r="L353" i="4" s="1"/>
  <c r="K353" i="4"/>
  <c r="D14" i="5"/>
  <c r="J344" i="4"/>
  <c r="J106" i="4" s="1"/>
  <c r="L365" i="4"/>
  <c r="H13" i="4"/>
  <c r="H28" i="4" s="1"/>
  <c r="I377" i="4"/>
  <c r="I379" i="4"/>
  <c r="I276" i="4" s="1"/>
  <c r="J385" i="4"/>
  <c r="J30" i="9" s="1"/>
  <c r="L261" i="4"/>
  <c r="L257" i="4" s="1"/>
  <c r="L345" i="4" s="1"/>
  <c r="K257" i="4"/>
  <c r="K345" i="4" s="1"/>
  <c r="L262" i="4"/>
  <c r="L258" i="4" s="1"/>
  <c r="K258" i="4"/>
  <c r="J299" i="4"/>
  <c r="J300" i="4"/>
  <c r="I301" i="4"/>
  <c r="I16" i="4" s="1"/>
  <c r="J351" i="4"/>
  <c r="I260" i="4"/>
  <c r="I9" i="4" s="1"/>
  <c r="I10" i="4" s="1"/>
  <c r="I23" i="4" s="1"/>
  <c r="F8" i="5"/>
  <c r="H380" i="4"/>
  <c r="H110" i="4" s="1"/>
  <c r="H46" i="4"/>
  <c r="L97" i="4"/>
  <c r="L96" i="4"/>
  <c r="J81" i="4"/>
  <c r="J43" i="4"/>
  <c r="J101" i="4" s="1"/>
  <c r="J145" i="4" s="1"/>
  <c r="H350" i="4"/>
  <c r="H120" i="4"/>
  <c r="J202" i="4"/>
  <c r="J256" i="4"/>
  <c r="J270" i="4"/>
  <c r="K7" i="4"/>
  <c r="J375" i="4"/>
  <c r="J342" i="4"/>
  <c r="J307" i="4"/>
  <c r="L8" i="4"/>
  <c r="K8" i="4"/>
  <c r="J107" i="4"/>
  <c r="J346" i="4"/>
  <c r="J108" i="4" s="1"/>
  <c r="J121" i="4"/>
  <c r="I347" i="4"/>
  <c r="H34" i="4" l="1" a="1"/>
  <c r="H34" i="4" s="1"/>
  <c r="K13" i="5" s="1"/>
  <c r="K8" i="5" s="1"/>
  <c r="I38" i="4"/>
  <c r="H40" i="4"/>
  <c r="I40" i="4" s="1"/>
  <c r="J40" i="4" s="1"/>
  <c r="K40" i="4" s="1"/>
  <c r="L40" i="4" s="1"/>
  <c r="H39" i="4"/>
  <c r="I39" i="4" s="1"/>
  <c r="J39" i="4" s="1"/>
  <c r="K39" i="4" s="1"/>
  <c r="L39" i="4" s="1"/>
  <c r="F419" i="4"/>
  <c r="F424" i="4" s="1"/>
  <c r="F29" i="4"/>
  <c r="E63" i="9"/>
  <c r="E57" i="9"/>
  <c r="E51" i="9"/>
  <c r="F452" i="4"/>
  <c r="H12" i="4"/>
  <c r="H27" i="4"/>
  <c r="J171" i="4"/>
  <c r="J69" i="9"/>
  <c r="K396" i="4"/>
  <c r="K427" i="4" s="1"/>
  <c r="K447" i="4" s="1"/>
  <c r="K3" i="9"/>
  <c r="G21" i="4"/>
  <c r="G30" i="4" s="1"/>
  <c r="G12" i="9"/>
  <c r="G18" i="9"/>
  <c r="G6" i="9"/>
  <c r="H24" i="9"/>
  <c r="I24" i="9" s="1"/>
  <c r="J24" i="9" s="1"/>
  <c r="K24" i="9" s="1"/>
  <c r="L24" i="9" s="1"/>
  <c r="E14" i="5"/>
  <c r="D12" i="5"/>
  <c r="I277" i="4"/>
  <c r="I11" i="4" s="1"/>
  <c r="I25" i="4" s="1"/>
  <c r="I55" i="4"/>
  <c r="K344" i="4"/>
  <c r="K106" i="4" s="1"/>
  <c r="L344" i="4"/>
  <c r="J377" i="4"/>
  <c r="J379" i="4"/>
  <c r="J276" i="4" s="1"/>
  <c r="K385" i="4"/>
  <c r="K30" i="9" s="1"/>
  <c r="L385" i="4"/>
  <c r="L30" i="9" s="1"/>
  <c r="K300" i="4"/>
  <c r="K299" i="4"/>
  <c r="L300" i="4"/>
  <c r="L299" i="4"/>
  <c r="J301" i="4"/>
  <c r="J16" i="4" s="1"/>
  <c r="J260" i="4"/>
  <c r="J9" i="4" s="1"/>
  <c r="J10" i="4" s="1"/>
  <c r="J23" i="4" s="1"/>
  <c r="I350" i="4"/>
  <c r="I119" i="4" s="1"/>
  <c r="I120" i="4"/>
  <c r="L351" i="4"/>
  <c r="K351" i="4"/>
  <c r="G8" i="5"/>
  <c r="H119" i="4"/>
  <c r="H354" i="4"/>
  <c r="H362" i="4" s="1"/>
  <c r="I376" i="4"/>
  <c r="I13" i="4"/>
  <c r="I28" i="4" s="1"/>
  <c r="I46" i="4"/>
  <c r="K81" i="4"/>
  <c r="K43" i="4"/>
  <c r="K101" i="4" s="1"/>
  <c r="K145" i="4" s="1"/>
  <c r="K270" i="4"/>
  <c r="K256" i="4"/>
  <c r="K202" i="4"/>
  <c r="L7" i="4"/>
  <c r="K375" i="4"/>
  <c r="K342" i="4"/>
  <c r="K307" i="4"/>
  <c r="K121" i="4"/>
  <c r="K346" i="4"/>
  <c r="K108" i="4" s="1"/>
  <c r="K107" i="4"/>
  <c r="J347" i="4"/>
  <c r="H26" i="4" l="1"/>
  <c r="Q66" i="10"/>
  <c r="I34" i="4" a="1"/>
  <c r="I34" i="4" s="1"/>
  <c r="J38" i="4"/>
  <c r="G452" i="4"/>
  <c r="G29" i="4"/>
  <c r="F63" i="9"/>
  <c r="F57" i="9"/>
  <c r="F51" i="9"/>
  <c r="D9" i="5"/>
  <c r="H40" i="9"/>
  <c r="H41" i="9" s="1"/>
  <c r="I12" i="4"/>
  <c r="I27" i="4"/>
  <c r="H24" i="4"/>
  <c r="H14" i="4"/>
  <c r="D10" i="5" s="1"/>
  <c r="D11" i="5" s="1"/>
  <c r="G419" i="4"/>
  <c r="G424" i="4" s="1"/>
  <c r="H424" i="4" s="1"/>
  <c r="I424" i="4" s="1"/>
  <c r="J424" i="4" s="1"/>
  <c r="K424" i="4" s="1"/>
  <c r="L424" i="4" s="1"/>
  <c r="K171" i="4"/>
  <c r="K69" i="9"/>
  <c r="L396" i="4"/>
  <c r="L427" i="4" s="1"/>
  <c r="L447" i="4" s="1"/>
  <c r="L3" i="9"/>
  <c r="I18" i="9"/>
  <c r="I6" i="9"/>
  <c r="I12" i="9"/>
  <c r="D59" i="9" s="1"/>
  <c r="H12" i="9"/>
  <c r="C59" i="9" s="1"/>
  <c r="H18" i="9"/>
  <c r="C65" i="9" s="1"/>
  <c r="H6" i="9"/>
  <c r="C53" i="9" s="1"/>
  <c r="E12" i="5"/>
  <c r="F14" i="5"/>
  <c r="J277" i="4"/>
  <c r="J11" i="4" s="1"/>
  <c r="J25" i="4" s="1"/>
  <c r="J55" i="4"/>
  <c r="L377" i="4"/>
  <c r="L379" i="4"/>
  <c r="L276" i="4" s="1"/>
  <c r="K377" i="4"/>
  <c r="K379" i="4"/>
  <c r="K276" i="4" s="1"/>
  <c r="I391" i="4"/>
  <c r="K301" i="4"/>
  <c r="K16" i="4" s="1"/>
  <c r="L301" i="4"/>
  <c r="L16" i="4" s="1"/>
  <c r="J350" i="4"/>
  <c r="J119" i="4" s="1"/>
  <c r="J120" i="4"/>
  <c r="K260" i="4"/>
  <c r="K9" i="4" s="1"/>
  <c r="K10" i="4" s="1"/>
  <c r="K23" i="4" s="1"/>
  <c r="L260" i="4"/>
  <c r="L9" i="4" s="1"/>
  <c r="L120" i="4" s="1"/>
  <c r="H8" i="5"/>
  <c r="J13" i="4"/>
  <c r="J28" i="4" s="1"/>
  <c r="J46" i="4"/>
  <c r="L43" i="4"/>
  <c r="L101" i="4" s="1"/>
  <c r="L145" i="4" s="1"/>
  <c r="L69" i="9" s="1"/>
  <c r="L81" i="4"/>
  <c r="L202" i="4"/>
  <c r="L256" i="4"/>
  <c r="L270" i="4"/>
  <c r="L375" i="4"/>
  <c r="L307" i="4"/>
  <c r="L342" i="4"/>
  <c r="K347" i="4"/>
  <c r="L121" i="4"/>
  <c r="L346" i="4"/>
  <c r="L108" i="4" s="1"/>
  <c r="L107" i="4"/>
  <c r="L106" i="4"/>
  <c r="I14" i="4" l="1"/>
  <c r="E10" i="5" s="1"/>
  <c r="E11" i="5" s="1"/>
  <c r="R66" i="10"/>
  <c r="J34" i="4" a="1"/>
  <c r="J34" i="4" s="1"/>
  <c r="K38" i="4"/>
  <c r="G63" i="9"/>
  <c r="G57" i="9"/>
  <c r="C64" i="9"/>
  <c r="C58" i="9"/>
  <c r="I37" i="9"/>
  <c r="D65" i="9"/>
  <c r="G51" i="9"/>
  <c r="C52" i="9"/>
  <c r="I36" i="9"/>
  <c r="M3" i="9"/>
  <c r="I35" i="9"/>
  <c r="D53" i="9"/>
  <c r="I26" i="4"/>
  <c r="E9" i="5"/>
  <c r="I24" i="4"/>
  <c r="H37" i="9"/>
  <c r="H36" i="9"/>
  <c r="H35" i="9"/>
  <c r="H25" i="9"/>
  <c r="J12" i="4"/>
  <c r="J27" i="4"/>
  <c r="I25" i="9"/>
  <c r="J12" i="9"/>
  <c r="E59" i="9" s="1"/>
  <c r="J18" i="9"/>
  <c r="E65" i="9" s="1"/>
  <c r="J6" i="9"/>
  <c r="G14" i="5"/>
  <c r="F12" i="5"/>
  <c r="H14" i="5"/>
  <c r="K277" i="4"/>
  <c r="K11" i="4" s="1"/>
  <c r="K25" i="4" s="1"/>
  <c r="L277" i="4"/>
  <c r="L11" i="4" s="1"/>
  <c r="L25" i="4" s="1"/>
  <c r="L171" i="4"/>
  <c r="K55" i="4"/>
  <c r="I378" i="4"/>
  <c r="I380" i="4" s="1"/>
  <c r="I110" i="4" s="1"/>
  <c r="I56" i="4"/>
  <c r="I62" i="4" s="1"/>
  <c r="K120" i="4"/>
  <c r="K350" i="4"/>
  <c r="K119" i="4" s="1"/>
  <c r="K13" i="4"/>
  <c r="K28" i="4" s="1"/>
  <c r="K46" i="4"/>
  <c r="L55" i="4"/>
  <c r="L350" i="4"/>
  <c r="L119" i="4" s="1"/>
  <c r="L347" i="4"/>
  <c r="L10" i="4"/>
  <c r="L23" i="4" s="1"/>
  <c r="J24" i="4" l="1"/>
  <c r="S66" i="10"/>
  <c r="L38" i="4"/>
  <c r="L34" i="4" s="1" a="1"/>
  <c r="L34" i="4" s="1"/>
  <c r="K34" i="4" a="1"/>
  <c r="K34" i="4" s="1"/>
  <c r="H63" i="9"/>
  <c r="H57" i="9"/>
  <c r="D52" i="9"/>
  <c r="E52" i="9" s="1"/>
  <c r="D58" i="9"/>
  <c r="E58" i="9" s="1"/>
  <c r="F58" i="9" s="1"/>
  <c r="H51" i="9"/>
  <c r="J36" i="9"/>
  <c r="N3" i="9"/>
  <c r="J35" i="9"/>
  <c r="E53" i="9"/>
  <c r="J25" i="9"/>
  <c r="J37" i="9"/>
  <c r="J14" i="4"/>
  <c r="F10" i="5" s="1"/>
  <c r="F11" i="5" s="1"/>
  <c r="J26" i="4"/>
  <c r="K12" i="4"/>
  <c r="K24" i="4" s="1"/>
  <c r="K27" i="4"/>
  <c r="F9" i="5"/>
  <c r="L27" i="4"/>
  <c r="K18" i="9"/>
  <c r="F65" i="9" s="1"/>
  <c r="K12" i="9"/>
  <c r="F59" i="9" s="1"/>
  <c r="K6" i="9"/>
  <c r="F53" i="9" s="1"/>
  <c r="G12" i="5"/>
  <c r="L12" i="4"/>
  <c r="J376" i="4"/>
  <c r="J391" i="4" s="1"/>
  <c r="L13" i="4"/>
  <c r="L28" i="4" s="1"/>
  <c r="L46" i="4"/>
  <c r="I63" i="9" l="1"/>
  <c r="I57" i="9"/>
  <c r="G58" i="9"/>
  <c r="I51" i="9"/>
  <c r="K36" i="9"/>
  <c r="F52" i="9"/>
  <c r="G52" i="9" s="1"/>
  <c r="O3" i="9"/>
  <c r="K35" i="9"/>
  <c r="K14" i="4"/>
  <c r="G10" i="5" s="1"/>
  <c r="G11" i="5" s="1"/>
  <c r="G9" i="5"/>
  <c r="K26" i="4"/>
  <c r="K25" i="9"/>
  <c r="K37" i="9"/>
  <c r="L24" i="4"/>
  <c r="L26" i="4"/>
  <c r="L12" i="9"/>
  <c r="G59" i="9" s="1"/>
  <c r="L18" i="9"/>
  <c r="L6" i="9"/>
  <c r="H12" i="5"/>
  <c r="H9" i="5"/>
  <c r="H18" i="5" s="1"/>
  <c r="J378" i="4"/>
  <c r="J380" i="4" s="1"/>
  <c r="K376" i="4" s="1"/>
  <c r="K391" i="4" s="1"/>
  <c r="J56" i="4"/>
  <c r="J62" i="4" s="1"/>
  <c r="L14" i="4"/>
  <c r="J63" i="9" l="1"/>
  <c r="J57" i="9"/>
  <c r="H58" i="9"/>
  <c r="M25" i="9"/>
  <c r="N25" i="9" s="1"/>
  <c r="O25" i="9" s="1"/>
  <c r="P25" i="9" s="1"/>
  <c r="Q25" i="9" s="1"/>
  <c r="R25" i="9" s="1"/>
  <c r="S25" i="9" s="1"/>
  <c r="T25" i="9" s="1"/>
  <c r="U25" i="9" s="1"/>
  <c r="V25" i="9" s="1"/>
  <c r="W25" i="9" s="1"/>
  <c r="X25" i="9" s="1"/>
  <c r="Y25" i="9" s="1"/>
  <c r="G65" i="9"/>
  <c r="J51" i="9"/>
  <c r="P3" i="9"/>
  <c r="G53" i="9"/>
  <c r="H52" i="9" s="1"/>
  <c r="L13" i="9"/>
  <c r="L19" i="9"/>
  <c r="H21" i="9" s="1"/>
  <c r="H45" i="9" s="1"/>
  <c r="C103" i="9" s="1"/>
  <c r="L35" i="9"/>
  <c r="H46" i="9" s="1"/>
  <c r="L7" i="9"/>
  <c r="L37" i="9"/>
  <c r="H48" i="9" s="1"/>
  <c r="H14" i="9"/>
  <c r="H20" i="9"/>
  <c r="H8" i="9"/>
  <c r="L36" i="9"/>
  <c r="H47" i="9" s="1"/>
  <c r="L25" i="9"/>
  <c r="C44" i="5"/>
  <c r="H10" i="5"/>
  <c r="H20" i="5" s="1"/>
  <c r="E44" i="5" s="1"/>
  <c r="H22" i="5"/>
  <c r="C54" i="5" s="1"/>
  <c r="H26" i="5"/>
  <c r="C64" i="5" s="1"/>
  <c r="K378" i="4"/>
  <c r="K380" i="4" s="1"/>
  <c r="K56" i="4"/>
  <c r="K62" i="4" s="1"/>
  <c r="J110" i="4"/>
  <c r="K63" i="9" l="1"/>
  <c r="K57" i="9"/>
  <c r="M12" i="9"/>
  <c r="H59" i="9" s="1"/>
  <c r="I58" i="9" s="1"/>
  <c r="M18" i="9"/>
  <c r="N18" i="9" s="1"/>
  <c r="M6" i="9"/>
  <c r="N6" i="9" s="1"/>
  <c r="O6" i="9" s="1"/>
  <c r="P6" i="9" s="1"/>
  <c r="Q6" i="9" s="1"/>
  <c r="R6" i="9" s="1"/>
  <c r="S6" i="9" s="1"/>
  <c r="T6" i="9" s="1"/>
  <c r="D64" i="9"/>
  <c r="K51" i="9"/>
  <c r="Q3" i="9"/>
  <c r="H15" i="9"/>
  <c r="H44" i="9" s="1"/>
  <c r="C94" i="9" s="1"/>
  <c r="H9" i="9"/>
  <c r="H43" i="9" s="1"/>
  <c r="H24" i="5"/>
  <c r="E54" i="5" s="1"/>
  <c r="H11" i="5"/>
  <c r="H28" i="5"/>
  <c r="E64" i="5" s="1"/>
  <c r="K110" i="4"/>
  <c r="L376" i="4"/>
  <c r="L391" i="4" s="1"/>
  <c r="L63" i="9" l="1"/>
  <c r="L57" i="9"/>
  <c r="N12" i="9"/>
  <c r="I59" i="9" s="1"/>
  <c r="J58" i="9" s="1"/>
  <c r="E64" i="9"/>
  <c r="F64" i="9" s="1"/>
  <c r="G64" i="9" s="1"/>
  <c r="H64" i="9" s="1"/>
  <c r="U6" i="9"/>
  <c r="O53" i="9"/>
  <c r="H53" i="9"/>
  <c r="I52" i="9" s="1"/>
  <c r="H65" i="9"/>
  <c r="O18" i="9"/>
  <c r="I65" i="9"/>
  <c r="L51" i="9"/>
  <c r="C84" i="9"/>
  <c r="R3" i="9"/>
  <c r="I53" i="9"/>
  <c r="L378" i="4"/>
  <c r="L380" i="4" s="1"/>
  <c r="L110" i="4" s="1"/>
  <c r="L56" i="4"/>
  <c r="L62" i="4" s="1"/>
  <c r="J354" i="4"/>
  <c r="I354" i="4"/>
  <c r="L354" i="4"/>
  <c r="E354" i="4"/>
  <c r="E362" i="4" s="1"/>
  <c r="K354" i="4"/>
  <c r="H356" i="4"/>
  <c r="G354" i="4"/>
  <c r="G362" i="4" s="1"/>
  <c r="D354" i="4"/>
  <c r="D362" i="4" s="1"/>
  <c r="F354" i="4"/>
  <c r="F362" i="4" s="1"/>
  <c r="C354" i="4"/>
  <c r="C362" i="4" s="1"/>
  <c r="M63" i="9" l="1"/>
  <c r="M57" i="9"/>
  <c r="O12" i="9"/>
  <c r="J59" i="9" s="1"/>
  <c r="K58" i="9" s="1"/>
  <c r="I64" i="9"/>
  <c r="J64" i="9" s="1"/>
  <c r="V6" i="9"/>
  <c r="P53" i="9"/>
  <c r="J52" i="9"/>
  <c r="P18" i="9"/>
  <c r="J65" i="9"/>
  <c r="M51" i="9"/>
  <c r="S3" i="9"/>
  <c r="J53" i="9"/>
  <c r="I356" i="4"/>
  <c r="I361" i="4" s="1"/>
  <c r="I362" i="4"/>
  <c r="K356" i="4"/>
  <c r="K362" i="4"/>
  <c r="L356" i="4"/>
  <c r="L362" i="4"/>
  <c r="J356" i="4"/>
  <c r="J362" i="4"/>
  <c r="F356" i="4"/>
  <c r="G356" i="4"/>
  <c r="D356" i="4"/>
  <c r="E356" i="4"/>
  <c r="C356" i="4"/>
  <c r="C357" i="4" s="1"/>
  <c r="N63" i="9" l="1"/>
  <c r="P51" i="9"/>
  <c r="X57" i="9"/>
  <c r="T63" i="9"/>
  <c r="V63" i="9"/>
  <c r="P57" i="9"/>
  <c r="R57" i="9"/>
  <c r="S57" i="9"/>
  <c r="X51" i="9"/>
  <c r="V57" i="9"/>
  <c r="R63" i="9"/>
  <c r="O51" i="9"/>
  <c r="N57" i="9"/>
  <c r="Q51" i="9"/>
  <c r="Y57" i="9"/>
  <c r="U63" i="9"/>
  <c r="X63" i="9"/>
  <c r="Q57" i="9"/>
  <c r="O63" i="9"/>
  <c r="R51" i="9"/>
  <c r="S51" i="9"/>
  <c r="O57" i="9"/>
  <c r="W63" i="9"/>
  <c r="U51" i="9"/>
  <c r="Y63" i="9"/>
  <c r="V51" i="9"/>
  <c r="W51" i="9"/>
  <c r="T57" i="9"/>
  <c r="P63" i="9"/>
  <c r="Y51" i="9"/>
  <c r="U57" i="9"/>
  <c r="Q63" i="9"/>
  <c r="W57" i="9"/>
  <c r="S63" i="9"/>
  <c r="T3" i="9"/>
  <c r="U3" i="9" s="1"/>
  <c r="V3" i="9" s="1"/>
  <c r="W3" i="9" s="1"/>
  <c r="X3" i="9" s="1"/>
  <c r="Y3" i="9" s="1"/>
  <c r="T51" i="9"/>
  <c r="P12" i="9"/>
  <c r="K59" i="9" s="1"/>
  <c r="L58" i="9" s="1"/>
  <c r="W6" i="9"/>
  <c r="Q53" i="9"/>
  <c r="K52" i="9"/>
  <c r="Q18" i="9"/>
  <c r="K65" i="9"/>
  <c r="K64" i="9"/>
  <c r="N51" i="9"/>
  <c r="K53" i="9"/>
  <c r="F357" i="4"/>
  <c r="K361" i="4"/>
  <c r="L361" i="4"/>
  <c r="G357" i="4"/>
  <c r="J361" i="4"/>
  <c r="E357" i="4"/>
  <c r="H361" i="4"/>
  <c r="D357" i="4"/>
  <c r="C359" i="4"/>
  <c r="I50" i="4"/>
  <c r="E13" i="5"/>
  <c r="E15" i="5" s="1"/>
  <c r="R68" i="10" s="1"/>
  <c r="G319" i="4"/>
  <c r="H317" i="4"/>
  <c r="Q12" i="9" l="1"/>
  <c r="L59" i="9" s="1"/>
  <c r="M58" i="9" s="1"/>
  <c r="X6" i="9"/>
  <c r="R53" i="9"/>
  <c r="L52" i="9"/>
  <c r="L64" i="9"/>
  <c r="R18" i="9"/>
  <c r="L65" i="9"/>
  <c r="L53" i="9"/>
  <c r="D359" i="4"/>
  <c r="D361" i="4" s="1"/>
  <c r="G359" i="4"/>
  <c r="G361" i="4" s="1"/>
  <c r="E359" i="4"/>
  <c r="E361" i="4" s="1"/>
  <c r="F359" i="4"/>
  <c r="F361" i="4" s="1"/>
  <c r="C361" i="4"/>
  <c r="C50" i="4" s="1"/>
  <c r="C51" i="4" s="1"/>
  <c r="H50" i="4"/>
  <c r="J50" i="4"/>
  <c r="L50" i="4"/>
  <c r="K50" i="4"/>
  <c r="H13" i="5"/>
  <c r="H15" i="5" s="1"/>
  <c r="N9" i="5" s="1"/>
  <c r="H16" i="5" s="1"/>
  <c r="C33" i="5" s="1"/>
  <c r="G13" i="5"/>
  <c r="G15" i="5" s="1"/>
  <c r="F13" i="5"/>
  <c r="F15" i="5" s="1"/>
  <c r="S68" i="10" s="1"/>
  <c r="D13" i="5"/>
  <c r="D15" i="5" s="1"/>
  <c r="Q68" i="10" s="1"/>
  <c r="I332" i="4"/>
  <c r="H66" i="4"/>
  <c r="R12" i="9" l="1"/>
  <c r="M59" i="9" s="1"/>
  <c r="N58" i="9" s="1"/>
  <c r="Y6" i="9"/>
  <c r="T53" i="9" s="1"/>
  <c r="S53" i="9"/>
  <c r="M52" i="9"/>
  <c r="S18" i="9"/>
  <c r="M65" i="9"/>
  <c r="M64" i="9"/>
  <c r="N53" i="9"/>
  <c r="M53" i="9"/>
  <c r="C32" i="5"/>
  <c r="C43" i="5"/>
  <c r="C45" i="5" s="1"/>
  <c r="C48" i="5" s="1"/>
  <c r="C49" i="5" s="1"/>
  <c r="F50" i="4"/>
  <c r="F51" i="4" s="1"/>
  <c r="F77" i="4" s="1"/>
  <c r="F78" i="4" s="1"/>
  <c r="F328" i="4" s="1"/>
  <c r="F329" i="4" s="1"/>
  <c r="E50" i="4"/>
  <c r="E51" i="4" s="1"/>
  <c r="E52" i="4" s="1"/>
  <c r="G50" i="4"/>
  <c r="G51" i="4" s="1"/>
  <c r="G77" i="4" s="1"/>
  <c r="G78" i="4" s="1"/>
  <c r="G328" i="4" s="1"/>
  <c r="G329" i="4" s="1"/>
  <c r="D50" i="4"/>
  <c r="D51" i="4" s="1"/>
  <c r="D77" i="4" s="1"/>
  <c r="D78" i="4" s="1"/>
  <c r="D328" i="4" s="1"/>
  <c r="D329" i="4" s="1"/>
  <c r="C77" i="4"/>
  <c r="C78" i="4" s="1"/>
  <c r="C328" i="4" s="1"/>
  <c r="C329" i="4" s="1"/>
  <c r="C331" i="4" s="1"/>
  <c r="C52" i="4"/>
  <c r="E53" i="5"/>
  <c r="E55" i="5" s="1"/>
  <c r="E58" i="5" s="1"/>
  <c r="E59" i="5" s="1"/>
  <c r="C63" i="5"/>
  <c r="C65" i="5" s="1"/>
  <c r="C68" i="5" s="1"/>
  <c r="C69" i="5" s="1"/>
  <c r="C75" i="5" s="1"/>
  <c r="E63" i="5"/>
  <c r="E65" i="5" s="1"/>
  <c r="E68" i="5" s="1"/>
  <c r="E69" i="5" s="1"/>
  <c r="C77" i="5" s="1"/>
  <c r="C53" i="5"/>
  <c r="C55" i="5" s="1"/>
  <c r="C58" i="5" s="1"/>
  <c r="C59" i="5" s="1"/>
  <c r="E43" i="5"/>
  <c r="E45" i="5" s="1"/>
  <c r="E48" i="5" s="1"/>
  <c r="E49" i="5" s="1"/>
  <c r="H314" i="4"/>
  <c r="J332" i="4"/>
  <c r="H320" i="4"/>
  <c r="H335" i="4" s="1"/>
  <c r="E60" i="5" l="1"/>
  <c r="S12" i="9"/>
  <c r="N59" i="9" s="1"/>
  <c r="O58" i="9" s="1"/>
  <c r="N65" i="9"/>
  <c r="T18" i="9"/>
  <c r="N52" i="9"/>
  <c r="N64" i="9"/>
  <c r="D331" i="4"/>
  <c r="D339" i="4"/>
  <c r="G331" i="4"/>
  <c r="G339" i="4"/>
  <c r="F331" i="4"/>
  <c r="C34" i="5"/>
  <c r="C37" i="5" s="1"/>
  <c r="C38" i="5" s="1"/>
  <c r="D78" i="5" s="1"/>
  <c r="G52" i="4"/>
  <c r="E77" i="4"/>
  <c r="E78" i="4" s="1"/>
  <c r="E328" i="4" s="1"/>
  <c r="F52" i="4"/>
  <c r="D52" i="4"/>
  <c r="H76" i="4"/>
  <c r="H327" i="4" s="1"/>
  <c r="E70" i="5"/>
  <c r="C70" i="5"/>
  <c r="C50" i="5"/>
  <c r="D75" i="5"/>
  <c r="E50" i="5"/>
  <c r="D77" i="5"/>
  <c r="C60" i="5"/>
  <c r="H123" i="4"/>
  <c r="I317" i="4"/>
  <c r="K332" i="4"/>
  <c r="M41" i="5" l="1"/>
  <c r="T12" i="9"/>
  <c r="U12" i="9" s="1"/>
  <c r="U18" i="9"/>
  <c r="O65" i="9"/>
  <c r="O64" i="9"/>
  <c r="O52" i="9"/>
  <c r="P52" i="9" s="1"/>
  <c r="Q52" i="9" s="1"/>
  <c r="R52" i="9" s="1"/>
  <c r="S52" i="9" s="1"/>
  <c r="T52" i="9" s="1"/>
  <c r="U52" i="9" s="1"/>
  <c r="V52" i="9" s="1"/>
  <c r="W52" i="9" s="1"/>
  <c r="X52" i="9" s="1"/>
  <c r="Y52" i="9" s="1"/>
  <c r="C54" i="9" s="1"/>
  <c r="E329" i="4"/>
  <c r="C39" i="5"/>
  <c r="L332" i="4"/>
  <c r="I320" i="4"/>
  <c r="I335" i="4" s="1"/>
  <c r="O59" i="9" l="1"/>
  <c r="P58" i="9" s="1"/>
  <c r="P64" i="9"/>
  <c r="V12" i="9"/>
  <c r="P59" i="9"/>
  <c r="V18" i="9"/>
  <c r="P65" i="9"/>
  <c r="E331" i="4"/>
  <c r="H331" i="4" s="1"/>
  <c r="I331" i="4" s="1"/>
  <c r="J331" i="4" s="1"/>
  <c r="E339" i="4"/>
  <c r="F339" i="4"/>
  <c r="J317" i="4"/>
  <c r="J320" i="4" s="1"/>
  <c r="J335" i="4" s="1"/>
  <c r="I123" i="4"/>
  <c r="Q58" i="9" l="1"/>
  <c r="Q64" i="9"/>
  <c r="W18" i="9"/>
  <c r="Q65" i="9"/>
  <c r="W12" i="9"/>
  <c r="Q59" i="9"/>
  <c r="K331" i="4"/>
  <c r="K317" i="4"/>
  <c r="K320" i="4" s="1"/>
  <c r="K335" i="4" s="1"/>
  <c r="J123" i="4"/>
  <c r="R58" i="9" l="1"/>
  <c r="R64" i="9"/>
  <c r="X12" i="9"/>
  <c r="R59" i="9"/>
  <c r="X18" i="9"/>
  <c r="R65" i="9"/>
  <c r="L331" i="4"/>
  <c r="L317" i="4"/>
  <c r="L320" i="4" s="1"/>
  <c r="L335" i="4" s="1"/>
  <c r="K123" i="4"/>
  <c r="S58" i="9" l="1"/>
  <c r="S64" i="9"/>
  <c r="Y18" i="9"/>
  <c r="T65" i="9" s="1"/>
  <c r="S65" i="9"/>
  <c r="Y12" i="9"/>
  <c r="T59" i="9" s="1"/>
  <c r="S59" i="9"/>
  <c r="L123" i="4"/>
  <c r="T58" i="9" l="1"/>
  <c r="U58" i="9" s="1"/>
  <c r="V58" i="9" s="1"/>
  <c r="W58" i="9" s="1"/>
  <c r="X58" i="9" s="1"/>
  <c r="Y58" i="9" s="1"/>
  <c r="C60" i="9" s="1"/>
  <c r="T64" i="9"/>
  <c r="U64" i="9" s="1"/>
  <c r="V64" i="9" s="1"/>
  <c r="W64" i="9" s="1"/>
  <c r="X64" i="9" s="1"/>
  <c r="Y64" i="9" s="1"/>
  <c r="C66" i="9" s="1"/>
  <c r="I48" i="4"/>
  <c r="J48" i="4" l="1"/>
  <c r="K48" i="4" l="1"/>
  <c r="L48" i="4" l="1"/>
  <c r="H48" i="4" l="1"/>
  <c r="I430" i="4" l="1"/>
  <c r="I431" i="4" s="1"/>
  <c r="I434" i="4"/>
  <c r="I439" i="4" s="1"/>
  <c r="J439" i="4" s="1"/>
  <c r="J428" i="4" l="1"/>
  <c r="J433" i="4" s="1"/>
  <c r="J434" i="4" s="1"/>
  <c r="I124" i="4"/>
  <c r="K439" i="4"/>
  <c r="L439" i="4" l="1"/>
  <c r="J430" i="4" l="1"/>
  <c r="J443" i="4"/>
  <c r="K430" i="4" l="1"/>
  <c r="K443" i="4"/>
  <c r="L430" i="4"/>
  <c r="L443" i="4"/>
  <c r="I134" i="4" l="1"/>
  <c r="J134" i="4"/>
  <c r="K134" i="4"/>
  <c r="L134" i="4"/>
  <c r="J431" i="4" l="1"/>
  <c r="K428" i="4" s="1"/>
  <c r="J442" i="4"/>
  <c r="J444" i="4" s="1"/>
  <c r="J109" i="4" l="1"/>
  <c r="K441" i="4"/>
  <c r="K433" i="4"/>
  <c r="K434" i="4" s="1"/>
  <c r="J124" i="4"/>
  <c r="K431" i="4"/>
  <c r="L428" i="4" s="1"/>
  <c r="K442" i="4"/>
  <c r="L442" i="4"/>
  <c r="K444" i="4" l="1"/>
  <c r="L441" i="4" s="1"/>
  <c r="L444" i="4" s="1"/>
  <c r="L109" i="4" s="1"/>
  <c r="K124" i="4"/>
  <c r="L431" i="4"/>
  <c r="L124" i="4" s="1"/>
  <c r="L433" i="4"/>
  <c r="L434" i="4" s="1"/>
  <c r="K109" i="4" l="1"/>
  <c r="H137" i="4" l="1"/>
  <c r="I137" i="4" l="1"/>
  <c r="J137" i="4" l="1"/>
  <c r="K137" i="4" l="1"/>
  <c r="L137" i="4" l="1"/>
  <c r="H19" i="5" l="1"/>
  <c r="H23" i="5"/>
  <c r="H27" i="5"/>
  <c r="H37" i="5"/>
  <c r="H38" i="5"/>
  <c r="D48" i="5"/>
  <c r="D49" i="5"/>
  <c r="M49" i="5"/>
  <c r="D50" i="5"/>
  <c r="D58" i="5"/>
  <c r="D59" i="5"/>
  <c r="D60" i="5"/>
  <c r="D68" i="5"/>
  <c r="D69" i="5"/>
  <c r="D70" i="5"/>
  <c r="C76" i="5"/>
  <c r="D76" i="5"/>
  <c r="D79" i="5"/>
  <c r="C82" i="5"/>
  <c r="C83" i="5"/>
  <c r="S51" i="10"/>
  <c r="Q67" i="10"/>
  <c r="R67" i="10"/>
  <c r="S67" i="10"/>
  <c r="H15" i="4"/>
  <c r="I15" i="4"/>
  <c r="J15" i="4"/>
  <c r="K15" i="4"/>
  <c r="L15" i="4"/>
  <c r="H17" i="4"/>
  <c r="I17" i="4"/>
  <c r="J17" i="4"/>
  <c r="K17" i="4"/>
  <c r="L17" i="4"/>
  <c r="H18" i="4"/>
  <c r="I18" i="4"/>
  <c r="J18" i="4"/>
  <c r="K18" i="4"/>
  <c r="L18" i="4"/>
  <c r="H21" i="4"/>
  <c r="I21" i="4"/>
  <c r="J21" i="4"/>
  <c r="K21" i="4"/>
  <c r="L21" i="4"/>
  <c r="H29" i="4"/>
  <c r="I29" i="4"/>
  <c r="J29" i="4"/>
  <c r="K29" i="4"/>
  <c r="L29" i="4"/>
  <c r="H30" i="4"/>
  <c r="I30" i="4"/>
  <c r="J30" i="4"/>
  <c r="K30" i="4"/>
  <c r="L30" i="4"/>
  <c r="H45" i="4"/>
  <c r="I45" i="4"/>
  <c r="J45" i="4"/>
  <c r="K45" i="4"/>
  <c r="L45" i="4"/>
  <c r="H51" i="4"/>
  <c r="I51" i="4"/>
  <c r="J51" i="4"/>
  <c r="K51" i="4"/>
  <c r="L51" i="4"/>
  <c r="H52" i="4"/>
  <c r="I52" i="4"/>
  <c r="J52" i="4"/>
  <c r="K52" i="4"/>
  <c r="L52" i="4"/>
  <c r="H67" i="4"/>
  <c r="I67" i="4"/>
  <c r="J67" i="4"/>
  <c r="K67" i="4"/>
  <c r="L67" i="4"/>
  <c r="H69" i="4"/>
  <c r="I69" i="4"/>
  <c r="J69" i="4"/>
  <c r="K69" i="4"/>
  <c r="L69" i="4"/>
  <c r="H71" i="4"/>
  <c r="I71" i="4"/>
  <c r="J71" i="4"/>
  <c r="K71" i="4"/>
  <c r="L71" i="4"/>
  <c r="I76" i="4"/>
  <c r="J76" i="4"/>
  <c r="K76" i="4"/>
  <c r="L76" i="4"/>
  <c r="H77" i="4"/>
  <c r="I77" i="4"/>
  <c r="J77" i="4"/>
  <c r="K77" i="4"/>
  <c r="L77" i="4"/>
  <c r="H78" i="4"/>
  <c r="I78" i="4"/>
  <c r="J78" i="4"/>
  <c r="K78" i="4"/>
  <c r="L78" i="4"/>
  <c r="H103" i="4"/>
  <c r="I103" i="4"/>
  <c r="J103" i="4"/>
  <c r="K103" i="4"/>
  <c r="L103" i="4"/>
  <c r="H116" i="4"/>
  <c r="I116" i="4"/>
  <c r="J116" i="4"/>
  <c r="K116" i="4"/>
  <c r="L116" i="4"/>
  <c r="H122" i="4"/>
  <c r="I122" i="4"/>
  <c r="J122" i="4"/>
  <c r="K122" i="4"/>
  <c r="L122" i="4"/>
  <c r="H130" i="4"/>
  <c r="I130" i="4"/>
  <c r="J130" i="4"/>
  <c r="K130" i="4"/>
  <c r="L130" i="4"/>
  <c r="H136" i="4"/>
  <c r="I136" i="4"/>
  <c r="J136" i="4"/>
  <c r="K136" i="4"/>
  <c r="L136" i="4"/>
  <c r="H138" i="4"/>
  <c r="I138" i="4"/>
  <c r="J138" i="4"/>
  <c r="K138" i="4"/>
  <c r="L138" i="4"/>
  <c r="H141" i="4"/>
  <c r="I141" i="4"/>
  <c r="J141" i="4"/>
  <c r="K141" i="4"/>
  <c r="L141" i="4"/>
  <c r="H142" i="4"/>
  <c r="I142" i="4"/>
  <c r="J142" i="4"/>
  <c r="K142" i="4"/>
  <c r="L142" i="4"/>
  <c r="H308" i="4"/>
  <c r="I308" i="4"/>
  <c r="J308" i="4"/>
  <c r="K308" i="4"/>
  <c r="L308" i="4"/>
  <c r="H309" i="4"/>
  <c r="I309" i="4"/>
  <c r="J309" i="4"/>
  <c r="K309" i="4"/>
  <c r="L309" i="4"/>
  <c r="I312" i="4"/>
  <c r="J312" i="4"/>
  <c r="K312" i="4"/>
  <c r="L312" i="4"/>
  <c r="H315" i="4"/>
  <c r="I315" i="4"/>
  <c r="J315" i="4"/>
  <c r="K315" i="4"/>
  <c r="L315" i="4"/>
  <c r="H322" i="4"/>
  <c r="I322" i="4"/>
  <c r="J322" i="4"/>
  <c r="K322" i="4"/>
  <c r="L322" i="4"/>
  <c r="I323" i="4"/>
  <c r="J323" i="4"/>
  <c r="K323" i="4"/>
  <c r="L323" i="4"/>
  <c r="H324" i="4"/>
  <c r="I324" i="4"/>
  <c r="J324" i="4"/>
  <c r="K324" i="4"/>
  <c r="L324" i="4"/>
  <c r="H325" i="4"/>
  <c r="I325" i="4"/>
  <c r="J325" i="4"/>
  <c r="K325" i="4"/>
  <c r="L325" i="4"/>
  <c r="I327" i="4"/>
  <c r="J327" i="4"/>
  <c r="K327" i="4"/>
  <c r="L327" i="4"/>
  <c r="H328" i="4"/>
  <c r="I328" i="4"/>
  <c r="J328" i="4"/>
  <c r="K328" i="4"/>
  <c r="L328" i="4"/>
  <c r="H329" i="4"/>
  <c r="I329" i="4"/>
  <c r="J329" i="4"/>
  <c r="K329" i="4"/>
  <c r="L329" i="4"/>
  <c r="H336" i="4"/>
  <c r="I336" i="4"/>
  <c r="J336" i="4"/>
  <c r="K336" i="4"/>
  <c r="L336" i="4"/>
  <c r="H337" i="4"/>
  <c r="I337" i="4"/>
  <c r="J337" i="4"/>
  <c r="K337" i="4"/>
  <c r="L337" i="4"/>
  <c r="H339" i="4"/>
  <c r="I339" i="4"/>
  <c r="J339" i="4"/>
  <c r="K339" i="4"/>
  <c r="L339" i="4"/>
  <c r="H401" i="4"/>
  <c r="I401" i="4"/>
  <c r="J401" i="4"/>
  <c r="K401" i="4"/>
  <c r="L401" i="4"/>
  <c r="H403" i="4"/>
  <c r="I403" i="4"/>
  <c r="J403" i="4"/>
  <c r="K403" i="4"/>
  <c r="L403" i="4"/>
  <c r="I418" i="4"/>
  <c r="J418" i="4"/>
  <c r="K418" i="4"/>
  <c r="L418" i="4"/>
  <c r="H419" i="4"/>
  <c r="I419" i="4"/>
  <c r="J419" i="4"/>
  <c r="K419" i="4"/>
  <c r="L419" i="4"/>
  <c r="H420" i="4"/>
  <c r="I420" i="4"/>
  <c r="J420" i="4"/>
  <c r="K420" i="4"/>
  <c r="L420" i="4"/>
  <c r="H421" i="4"/>
  <c r="I421" i="4"/>
  <c r="J421" i="4"/>
  <c r="K421" i="4"/>
  <c r="L421" i="4"/>
  <c r="H452" i="4"/>
  <c r="I452" i="4"/>
  <c r="J452" i="4"/>
  <c r="K452" i="4"/>
  <c r="L45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12" authorId="0" shapeId="0" xr:uid="{72DFCEA2-A0F9-4D69-B238-53F435507226}">
      <text>
        <r>
          <rPr>
            <sz val="9"/>
            <color indexed="81"/>
            <rFont val="Tahoma"/>
            <family val="2"/>
          </rPr>
          <t>D&amp;A is built in SG&amp;A, that’s why for the model I am substracting it from SG&amp;A to not double count it</t>
        </r>
      </text>
    </comment>
    <comment ref="B13" authorId="0" shapeId="0" xr:uid="{D472AA1E-832D-4A14-AD3D-18E242241D8E}">
      <text>
        <r>
          <rPr>
            <b/>
            <sz val="9"/>
            <color indexed="81"/>
            <rFont val="Tahoma"/>
            <family val="2"/>
          </rPr>
          <t>User:</t>
        </r>
        <r>
          <rPr>
            <sz val="9"/>
            <color indexed="81"/>
            <rFont val="Tahoma"/>
            <family val="2"/>
          </rPr>
          <t xml:space="preserve">
D&amp;A is built in SG&amp;A, that’s why for the model I am substracting it from SG&amp;A to not double count it</t>
        </r>
      </text>
    </comment>
    <comment ref="H47" authorId="0" shapeId="0" xr:uid="{2AB49EDE-680A-4083-95B0-4EB186EB63DF}">
      <text>
        <r>
          <rPr>
            <sz val="9"/>
            <color indexed="81"/>
            <rFont val="Tahoma"/>
            <family val="2"/>
          </rPr>
          <t xml:space="preserve">Simplification given that fair value of assets is unknown
Gain = Sale price&gt;Fair Value
</t>
        </r>
      </text>
    </comment>
    <comment ref="B58" authorId="0" shapeId="0" xr:uid="{8527DABD-A82A-4CAF-9035-04C885CFBF14}">
      <text>
        <r>
          <rPr>
            <b/>
            <sz val="9"/>
            <color indexed="81"/>
            <rFont val="Tahoma"/>
            <family val="2"/>
          </rPr>
          <t>User:</t>
        </r>
        <r>
          <rPr>
            <sz val="9"/>
            <color indexed="81"/>
            <rFont val="Tahoma"/>
            <family val="2"/>
          </rPr>
          <t xml:space="preserve">
Since these cashflows almost offset each other, forecast for each will be zero</t>
        </r>
      </text>
    </comment>
    <comment ref="B90" authorId="0" shapeId="0" xr:uid="{64DCEEAA-A91B-4295-8950-0C9DAD8D0505}">
      <text>
        <r>
          <rPr>
            <b/>
            <sz val="9"/>
            <color indexed="81"/>
            <rFont val="Tahoma"/>
            <family val="2"/>
          </rPr>
          <t>User:</t>
        </r>
        <r>
          <rPr>
            <sz val="9"/>
            <color indexed="81"/>
            <rFont val="Tahoma"/>
            <family val="2"/>
          </rPr>
          <t xml:space="preserve">
Changes in NWC will be forecasted using the working capital schedule below</t>
        </r>
      </text>
    </comment>
    <comment ref="H90" authorId="0" shapeId="0" xr:uid="{270E922B-4A52-4E78-A360-0B00BBC08A88}">
      <text>
        <r>
          <rPr>
            <b/>
            <sz val="9"/>
            <color indexed="81"/>
            <rFont val="Tahoma"/>
            <family val="2"/>
          </rPr>
          <t>User:</t>
        </r>
        <r>
          <rPr>
            <sz val="9"/>
            <color indexed="81"/>
            <rFont val="Tahoma"/>
            <family val="2"/>
          </rPr>
          <t xml:space="preserve">
Changes in NWC will be forecasted using the working capital schedule below
</t>
        </r>
      </text>
    </comment>
    <comment ref="C103" authorId="0" shapeId="0" xr:uid="{7FB0D01B-FAE6-4748-9C87-BFB5F860AC4F}">
      <text>
        <r>
          <rPr>
            <b/>
            <sz val="9"/>
            <color indexed="81"/>
            <rFont val="Tahoma"/>
            <family val="2"/>
          </rPr>
          <t>User:</t>
        </r>
        <r>
          <rPr>
            <sz val="9"/>
            <color indexed="81"/>
            <rFont val="Tahoma"/>
            <family val="2"/>
          </rPr>
          <t xml:space="preserve">
cash from cashflows is divided in cash and cash equivalents and restricted cash2</t>
        </r>
      </text>
    </comment>
    <comment ref="C104" authorId="0" shapeId="0" xr:uid="{43C13A6A-07E4-4D0B-8766-CCF4228982B3}">
      <text>
        <r>
          <rPr>
            <b/>
            <sz val="9"/>
            <color indexed="81"/>
            <rFont val="Tahoma"/>
            <family val="2"/>
          </rPr>
          <t>User:</t>
        </r>
        <r>
          <rPr>
            <sz val="9"/>
            <color indexed="81"/>
            <rFont val="Tahoma"/>
            <family val="2"/>
          </rPr>
          <t xml:space="preserve">
cash from cashflows is divided in cash and cash equivalents and restricted cash2</t>
        </r>
      </text>
    </comment>
    <comment ref="H104" authorId="0" shapeId="0" xr:uid="{3F8EE78F-C003-4643-B7DE-1553F3AE1BBD}">
      <text>
        <r>
          <rPr>
            <b/>
            <sz val="9"/>
            <color indexed="81"/>
            <rFont val="Tahoma"/>
            <family val="2"/>
          </rPr>
          <t>User:</t>
        </r>
        <r>
          <rPr>
            <sz val="9"/>
            <color indexed="81"/>
            <rFont val="Tahoma"/>
            <family val="2"/>
          </rPr>
          <t xml:space="preserve">
Assumption from average of previous years
</t>
        </r>
      </text>
    </comment>
    <comment ref="H106" authorId="0" shapeId="0" xr:uid="{30AC7E50-805D-4628-9664-5574399A08BF}">
      <text>
        <r>
          <rPr>
            <b/>
            <sz val="9"/>
            <color indexed="81"/>
            <rFont val="Tahoma"/>
            <family val="2"/>
          </rPr>
          <t>User:</t>
        </r>
        <r>
          <rPr>
            <sz val="9"/>
            <color indexed="81"/>
            <rFont val="Tahoma"/>
            <family val="2"/>
          </rPr>
          <t xml:space="preserve">
These numbers have to be the same as the previous year's otherwise it doesn't balance</t>
        </r>
      </text>
    </comment>
    <comment ref="H137" authorId="0" shapeId="0" xr:uid="{F8926968-A537-4952-BD9F-E19C7C2B0365}">
      <text>
        <r>
          <rPr>
            <b/>
            <sz val="9"/>
            <color indexed="81"/>
            <rFont val="Tahoma"/>
            <family val="2"/>
          </rPr>
          <t>User:</t>
        </r>
        <r>
          <rPr>
            <sz val="9"/>
            <color indexed="81"/>
            <rFont val="Tahoma"/>
            <family val="2"/>
          </rPr>
          <t xml:space="preserve">
Accumulated Other Comprehensive Loss Constant at that quanitity because rest of years only have positve net inomce</t>
        </r>
      </text>
    </comment>
    <comment ref="C151" authorId="0" shapeId="0" xr:uid="{403753EC-CF65-44D1-A6FE-E0710D0846B5}">
      <text>
        <r>
          <rPr>
            <sz val="9"/>
            <color indexed="81"/>
            <rFont val="Tahoma"/>
            <family val="2"/>
          </rPr>
          <t>From 10K:
ended the year with 47 warehouse clubs compared to 46 ... fiscal 2020</t>
        </r>
      </text>
    </comment>
    <comment ref="D151" authorId="0" shapeId="0" xr:uid="{61534D90-316B-4B15-86D8-6529589B8EC0}">
      <text>
        <r>
          <rPr>
            <sz val="9"/>
            <color indexed="81"/>
            <rFont val="Tahoma"/>
            <family val="2"/>
          </rPr>
          <t>From 10K:
Ended the year with 50 warehouse clubs compared to 47 fiscal 2021</t>
        </r>
      </text>
    </comment>
    <comment ref="E151" authorId="0" shapeId="0" xr:uid="{E429FFDC-D44D-4926-979E-D4D8B2214B05}">
      <text>
        <r>
          <rPr>
            <sz val="9"/>
            <color indexed="81"/>
            <rFont val="Tahoma"/>
            <family val="2"/>
          </rPr>
          <t>From 10k: 51 at the end of fiscal year 2023</t>
        </r>
      </text>
    </comment>
    <comment ref="F151" authorId="0" shapeId="0" xr:uid="{5645743A-67A6-40BB-9B32-E64A3635CF40}">
      <text>
        <r>
          <rPr>
            <sz val="9"/>
            <color indexed="81"/>
            <rFont val="Tahoma"/>
            <family val="2"/>
          </rPr>
          <t>From 10K: opened two warehouse clubs during fiscal year 2025 compared to three warehouse clubs in fiscal year 2024</t>
        </r>
      </text>
    </comment>
    <comment ref="G151" authorId="0" shapeId="0" xr:uid="{DBDFA709-EE30-45DF-B4ED-98DF2563B909}">
      <text>
        <r>
          <rPr>
            <sz val="9"/>
            <color indexed="81"/>
            <rFont val="Tahoma"/>
            <family val="2"/>
          </rPr>
          <t>10-K: 56 clubs as of 8/31/25 vs. 54 as of 8/31/24; new clubs named — 9th Costa Rica (Apr 2025), 7th Guatemala (Aug 2025)</t>
        </r>
      </text>
    </comment>
    <comment ref="H151" authorId="0" shapeId="0" xr:uid="{4A466C13-02BB-4540-9D7D-A3EFC900BB94}">
      <text>
        <r>
          <rPr>
            <sz val="9"/>
            <color indexed="81"/>
            <rFont val="Tahoma"/>
            <family val="2"/>
          </rPr>
          <t>10th Club in Cost Rica</t>
        </r>
      </text>
    </comment>
    <comment ref="I151" authorId="0" shapeId="0" xr:uid="{6374F9F3-C4CE-4B8A-9E53-25AE21135E64}">
      <text>
        <r>
          <rPr>
            <b/>
            <sz val="9"/>
            <color indexed="81"/>
            <rFont val="Tahoma"/>
            <family val="2"/>
          </rPr>
          <t>8th club in Guatemala and 11th Club in Costa Rica</t>
        </r>
      </text>
    </comment>
    <comment ref="H152" authorId="0" shapeId="0" xr:uid="{0EB294D2-03DB-4B03-8034-C4360A343C2A}">
      <text>
        <r>
          <rPr>
            <b/>
            <sz val="9"/>
            <color indexed="81"/>
            <rFont val="Tahoma"/>
            <family val="2"/>
          </rPr>
          <t>User:</t>
        </r>
        <r>
          <rPr>
            <sz val="9"/>
            <color indexed="81"/>
            <rFont val="Tahoma"/>
            <family val="2"/>
          </rPr>
          <t xml:space="preserve">
3rd and 4th clubs in Jamaica
</t>
        </r>
      </text>
    </comment>
    <comment ref="I152" authorId="0" shapeId="0" xr:uid="{1911B1A9-8532-4992-B25D-5BAA4EDFD1FA}">
      <text>
        <r>
          <rPr>
            <b/>
            <sz val="9"/>
            <color indexed="81"/>
            <rFont val="Tahoma"/>
            <family val="2"/>
          </rPr>
          <t>4th Club in Jamaica</t>
        </r>
      </text>
    </comment>
    <comment ref="H153" authorId="0" shapeId="0" xr:uid="{D0EA53DC-5907-4032-B3A1-F82070BD4903}">
      <text>
        <r>
          <rPr>
            <b/>
            <sz val="9"/>
            <color indexed="81"/>
            <rFont val="Tahoma"/>
            <family val="2"/>
          </rPr>
          <t>User:</t>
        </r>
        <r>
          <rPr>
            <sz val="9"/>
            <color indexed="81"/>
            <rFont val="Tahoma"/>
            <family val="2"/>
          </rPr>
          <t xml:space="preserve">
To account for Chile and Colombia in the future</t>
        </r>
      </text>
    </comment>
    <comment ref="I153" authorId="0" shapeId="0" xr:uid="{21B6EA02-9364-4879-A132-78147A2C7AA3}">
      <text>
        <r>
          <rPr>
            <b/>
            <sz val="9"/>
            <color indexed="81"/>
            <rFont val="Tahoma"/>
            <family val="2"/>
          </rPr>
          <t>User:</t>
        </r>
        <r>
          <rPr>
            <sz val="9"/>
            <color indexed="81"/>
            <rFont val="Tahoma"/>
            <family val="2"/>
          </rPr>
          <t xml:space="preserve">
1st Club in Chile
</t>
        </r>
      </text>
    </comment>
    <comment ref="C172" authorId="0" shapeId="0" xr:uid="{ACE8388C-3A2B-42DF-997F-853A938AB487}">
      <text>
        <r>
          <rPr>
            <b/>
            <sz val="9"/>
            <color indexed="81"/>
            <rFont val="Tahoma"/>
            <family val="2"/>
          </rPr>
          <t>User:</t>
        </r>
        <r>
          <rPr>
            <sz val="9"/>
            <color indexed="81"/>
            <rFont val="Tahoma"/>
            <family val="2"/>
          </rPr>
          <t xml:space="preserve">
Retrieved from Net Merchandise Sales in Annual Reports
</t>
        </r>
      </text>
    </comment>
    <comment ref="C175" authorId="0" shapeId="0" xr:uid="{F25537F0-4F8D-4434-B863-4CE5EDD3FE4C}">
      <text>
        <r>
          <rPr>
            <b/>
            <sz val="9"/>
            <color indexed="81"/>
            <rFont val="Tahoma"/>
            <family val="2"/>
          </rPr>
          <t>User:</t>
        </r>
        <r>
          <rPr>
            <sz val="9"/>
            <color indexed="81"/>
            <rFont val="Tahoma"/>
            <family val="2"/>
          </rPr>
          <t xml:space="preserve">
There is no NMS per region in 10k from 2021-2022</t>
        </r>
      </text>
    </comment>
    <comment ref="H208" authorId="0" shapeId="0" xr:uid="{3F63212E-97D9-4396-A6F1-09EAD604361E}">
      <text>
        <r>
          <rPr>
            <sz val="9"/>
            <color indexed="81"/>
            <rFont val="Tahoma"/>
            <family val="2"/>
          </rPr>
          <t>Median and not compounded grown given outlier in 2025</t>
        </r>
      </text>
    </comment>
    <comment ref="H218" authorId="0" shapeId="0" xr:uid="{E2A656FE-690D-4E24-8EE6-094C26FC8A4E}">
      <text>
        <r>
          <rPr>
            <sz val="9"/>
            <color indexed="81"/>
            <rFont val="Tahoma"/>
            <family val="2"/>
          </rPr>
          <t>~6–7% (account growth + modest fee inflation), since the fee-increase tailwind won't repeat</t>
        </r>
      </text>
    </comment>
    <comment ref="H219" authorId="0" shapeId="0" xr:uid="{D96EE754-0AA5-41E4-A800-DDEC61240A5D}">
      <text>
        <r>
          <rPr>
            <sz val="9"/>
            <color indexed="81"/>
            <rFont val="Tahoma"/>
            <family val="2"/>
          </rPr>
          <t xml:space="preserve">Sharp Increase given average assumption. Change smooths out in the following years assuming a positive 2% trend </t>
        </r>
      </text>
    </comment>
    <comment ref="I219" authorId="0" shapeId="0" xr:uid="{B89FB0C1-E175-4794-ACE3-6DC9BA2613C3}">
      <text/>
    </comment>
    <comment ref="H220" authorId="0" shapeId="0" xr:uid="{FA55D5AE-ABC6-4F3A-94FD-18C6744E07EC}">
      <text>
        <r>
          <rPr>
            <sz val="9"/>
            <color indexed="81"/>
            <rFont val="Tahoma"/>
            <family val="2"/>
          </rPr>
          <t>9% below the two most recent actual growth rates as a conservative deceleration</t>
        </r>
      </text>
    </comment>
    <comment ref="H221" authorId="0" shapeId="0" xr:uid="{E861EE89-3F30-436F-8B6A-9135620ED5E2}">
      <text>
        <r>
          <rPr>
            <b/>
            <sz val="9"/>
            <color indexed="81"/>
            <rFont val="Tahoma"/>
            <family val="2"/>
          </rPr>
          <t>User:</t>
        </r>
        <r>
          <rPr>
            <sz val="9"/>
            <color indexed="81"/>
            <rFont val="Tahoma"/>
            <family val="2"/>
          </rPr>
          <t xml:space="preserve">
Increases linked to inflation</t>
        </r>
      </text>
    </comment>
    <comment ref="I235" authorId="0" shapeId="0" xr:uid="{F52FA6CC-20C2-4CA7-9064-CCE80EAB8EBC}">
      <text>
        <r>
          <rPr>
            <b/>
            <sz val="9"/>
            <color indexed="81"/>
            <rFont val="Tahoma"/>
            <family val="2"/>
          </rPr>
          <t>Ignoring 2025 for being an outlier for tariffs</t>
        </r>
      </text>
    </comment>
    <comment ref="E272" authorId="0" shapeId="0" xr:uid="{F89A9C90-F96F-4FED-80AF-43AEDACC89D6}">
      <text>
        <r>
          <rPr>
            <sz val="9"/>
            <color indexed="81"/>
            <rFont val="Tahoma"/>
            <family val="2"/>
          </rPr>
          <t>Robert Price served as Interim CEO from Feb 2023 through Aug 31, 2025 and elected not to take compensation for that role. The company disclosed the fair value of his uncompensated service was about $5.1 million/year, but that amount was never actually charged to the income statement</t>
        </r>
      </text>
    </comment>
    <comment ref="F272" authorId="0" shapeId="0" xr:uid="{7CB51261-4C60-4851-A8CA-2F7C91824947}">
      <text>
        <r>
          <rPr>
            <sz val="9"/>
            <color indexed="81"/>
            <rFont val="Tahoma"/>
            <family val="2"/>
          </rPr>
          <t>Robert Price served as Interim CEO from Feb 2023 through Aug 31, 2025 and elected not to take compensation for that role. The company disclosed the fair value of his uncompensated service was about $5.1 million/year, but that amount was never actually charged to the income statement</t>
        </r>
      </text>
    </comment>
    <comment ref="G272" authorId="0" shapeId="0" xr:uid="{26584F80-9B3E-42E5-A078-86AC86260A19}">
      <text>
        <r>
          <rPr>
            <sz val="9"/>
            <color indexed="81"/>
            <rFont val="Tahoma"/>
            <family val="2"/>
          </rPr>
          <t>Robert Price served as Interim CEO from Feb 2023 through Aug 31, 2025 and elected not to take compensation for that role. The company disclosed the fair value of his uncompensated service was about $5.1 million/year, but that amount was never actually charged to the income statement</t>
        </r>
      </text>
    </comment>
    <comment ref="H272" authorId="0" shapeId="0" xr:uid="{8DE7131F-91CC-408F-95DC-335AFA8B669D}">
      <text>
        <r>
          <rPr>
            <b/>
            <sz val="9"/>
            <color indexed="81"/>
            <rFont val="Tahoma"/>
            <family val="2"/>
          </rPr>
          <t>User:</t>
        </r>
        <r>
          <rPr>
            <sz val="9"/>
            <color indexed="81"/>
            <rFont val="Tahoma"/>
            <family val="2"/>
          </rPr>
          <t xml:space="preserve">
CEO Compensation in 10k</t>
        </r>
      </text>
    </comment>
    <comment ref="B276" authorId="0" shapeId="0" xr:uid="{D7126C66-FE4E-4DE3-8360-B94EBCC6AB71}">
      <text>
        <r>
          <rPr>
            <sz val="9"/>
            <color indexed="81"/>
            <rFont val="Tahoma"/>
            <family val="2"/>
          </rPr>
          <t xml:space="preserve">Only used for historic SG&amp;A Since SG&amp;A D&amp;A from Income Statement is within SG&amp;A  </t>
        </r>
      </text>
    </comment>
    <comment ref="H280" authorId="0" shapeId="0" xr:uid="{484059C9-133E-4C89-B2C3-E93324315015}">
      <text>
        <r>
          <rPr>
            <sz val="9"/>
            <color indexed="81"/>
            <rFont val="Tahoma"/>
            <family val="2"/>
          </rPr>
          <t xml:space="preserve">
excludes 2022 since it is an outlier</t>
        </r>
      </text>
    </comment>
    <comment ref="H297" authorId="0" shapeId="0" xr:uid="{0D505472-0667-49B4-9531-7CA92341E1AF}">
      <text>
        <r>
          <rPr>
            <b/>
            <sz val="9"/>
            <color indexed="81"/>
            <rFont val="Tahoma"/>
            <family val="2"/>
          </rPr>
          <t>User:</t>
        </r>
        <r>
          <rPr>
            <sz val="9"/>
            <color indexed="81"/>
            <rFont val="Tahoma"/>
            <family val="2"/>
          </rPr>
          <t xml:space="preserve">
Not Part of Other expenses any more</t>
        </r>
      </text>
    </comment>
    <comment ref="H298" authorId="0" shapeId="0" xr:uid="{36E434B6-A67C-4AA0-A55A-B59376DDF4E9}">
      <text>
        <r>
          <rPr>
            <b/>
            <sz val="9"/>
            <color indexed="81"/>
            <rFont val="Tahoma"/>
            <family val="2"/>
          </rPr>
          <t>User:</t>
        </r>
        <r>
          <rPr>
            <sz val="9"/>
            <color indexed="81"/>
            <rFont val="Tahoma"/>
            <family val="2"/>
          </rPr>
          <t xml:space="preserve">
Not Part of Other expenses any more</t>
        </r>
      </text>
    </comment>
    <comment ref="H313" authorId="0" shapeId="0" xr:uid="{E9FB5EBD-211C-4B5F-BF73-23BC730C97B9}">
      <text>
        <r>
          <rPr>
            <b/>
            <sz val="9"/>
            <color indexed="81"/>
            <rFont val="Tahoma"/>
            <family val="2"/>
          </rPr>
          <t>User:</t>
        </r>
        <r>
          <rPr>
            <sz val="9"/>
            <color indexed="81"/>
            <rFont val="Tahoma"/>
            <family val="2"/>
          </rPr>
          <t xml:space="preserve">
-100,000</t>
        </r>
      </text>
    </comment>
    <comment ref="H318" authorId="0" shapeId="0" xr:uid="{12CBBB31-9050-4C64-8AE3-C2D595453519}">
      <text>
        <r>
          <rPr>
            <sz val="9"/>
            <color indexed="81"/>
            <rFont val="Tahoma"/>
            <family val="2"/>
          </rPr>
          <t xml:space="preserve">Assumes maturing debt is refinanced 1:1 to hold leverage constant, consistent with the WACC used to discount the forecast, not a disclosed company policy </t>
        </r>
      </text>
    </comment>
    <comment ref="I319" authorId="0" shapeId="0" xr:uid="{305E0D69-F069-4E9A-B0C3-03A213BCE3FA}">
      <text>
        <r>
          <rPr>
            <b/>
            <sz val="9"/>
            <color indexed="81"/>
            <rFont val="Tahoma"/>
            <family val="2"/>
          </rPr>
          <t>User:</t>
        </r>
        <r>
          <rPr>
            <sz val="9"/>
            <color indexed="81"/>
            <rFont val="Tahoma"/>
            <family val="2"/>
          </rPr>
          <t xml:space="preserve">
Amounts that matures on 2027,28,29,30 of LTD
</t>
        </r>
      </text>
    </comment>
    <comment ref="A359" authorId="0" shapeId="0" xr:uid="{4EA92CE1-EA1F-4B65-BC14-7F39E58C140F}">
      <text>
        <r>
          <rPr>
            <sz val="9"/>
            <color indexed="81"/>
            <rFont val="Tahoma"/>
            <family val="2"/>
          </rPr>
          <t>Change in NWC in CF only has change in Recievables, Invetories, and A.P. This approach reconciles actual change in NWC from CF.</t>
        </r>
      </text>
    </comment>
    <comment ref="H359" authorId="0" shapeId="0" xr:uid="{F574644D-5111-4071-8764-9EC1176DDC86}">
      <text>
        <r>
          <rPr>
            <b/>
            <sz val="9"/>
            <color indexed="81"/>
            <rFont val="Tahoma"/>
            <family val="2"/>
          </rPr>
          <t>User:</t>
        </r>
        <r>
          <rPr>
            <sz val="9"/>
            <color indexed="81"/>
            <rFont val="Tahoma"/>
            <family val="2"/>
          </rPr>
          <t xml:space="preserve">
Are not extended in the model
</t>
        </r>
      </text>
    </comment>
    <comment ref="B383" authorId="0" shapeId="0" xr:uid="{2D50C96C-B488-4CBC-B48A-4985E0193CF7}">
      <text>
        <r>
          <rPr>
            <b/>
            <sz val="9"/>
            <color indexed="81"/>
            <rFont val="Tahoma"/>
            <family val="2"/>
          </rPr>
          <t>User:</t>
        </r>
        <r>
          <rPr>
            <sz val="9"/>
            <color indexed="81"/>
            <rFont val="Tahoma"/>
            <family val="2"/>
          </rPr>
          <t xml:space="preserve">
Capex = End. PPE + D+ Sale of PPE- Beg. PPE
</t>
        </r>
      </text>
    </comment>
    <comment ref="B384" authorId="0" shapeId="0" xr:uid="{78859B59-9294-412B-A293-182DD4AA31AF}">
      <text>
        <r>
          <rPr>
            <sz val="9"/>
            <color indexed="81"/>
            <rFont val="Tahoma"/>
            <family val="2"/>
          </rPr>
          <t>Modeled afte 2025 as Capex for Stores opening next year</t>
        </r>
      </text>
    </comment>
    <comment ref="C384" authorId="0" shapeId="0" xr:uid="{78B06A5C-45E9-476D-9032-116181364E12}">
      <text>
        <r>
          <rPr>
            <sz val="9"/>
            <color indexed="81"/>
            <rFont val="Tahoma"/>
            <family val="2"/>
          </rPr>
          <t xml:space="preserve">
No Data</t>
        </r>
      </text>
    </comment>
    <comment ref="D384" authorId="0" shapeId="0" xr:uid="{44AAC63B-AF14-44DB-A100-F831124BF4AA}">
      <text>
        <r>
          <rPr>
            <sz val="9"/>
            <color indexed="81"/>
            <rFont val="Tahoma"/>
            <family val="2"/>
          </rPr>
          <t xml:space="preserve">
No Data</t>
        </r>
      </text>
    </comment>
    <comment ref="E384" authorId="0" shapeId="0" xr:uid="{CBFF390B-1877-4EEB-AED8-58D018DDBA55}">
      <text>
        <r>
          <rPr>
            <sz val="9"/>
            <color indexed="81"/>
            <rFont val="Tahoma"/>
            <family val="2"/>
          </rPr>
          <t xml:space="preserve">Growth Capex
</t>
        </r>
      </text>
    </comment>
    <comment ref="H387" authorId="0" shapeId="0" xr:uid="{CD74A0A5-18F4-47C1-99EF-F6B89C2CB76F}">
      <text>
        <r>
          <rPr>
            <b/>
            <sz val="9"/>
            <color indexed="81"/>
            <rFont val="Tahoma"/>
            <family val="2"/>
          </rPr>
          <t xml:space="preserve">Shows more up to date maitainance Capex
</t>
        </r>
      </text>
    </comment>
    <comment ref="H402" authorId="0" shapeId="0" xr:uid="{8D7C1DD7-D76A-4F7C-B576-3F5CF468FE74}">
      <text>
        <r>
          <rPr>
            <b/>
            <sz val="9"/>
            <color indexed="81"/>
            <rFont val="Tahoma"/>
            <family val="2"/>
          </rPr>
          <t>User:</t>
        </r>
        <r>
          <rPr>
            <sz val="9"/>
            <color indexed="81"/>
            <rFont val="Tahoma"/>
            <family val="2"/>
          </rPr>
          <t xml:space="preserve">
variable for consiliation of Balance Sheet
</t>
        </r>
      </text>
    </comment>
    <comment ref="I402" authorId="0" shapeId="0" xr:uid="{39316381-7AF8-42ED-9A54-A801EDE1467A}">
      <text>
        <r>
          <rPr>
            <b/>
            <sz val="9"/>
            <color indexed="81"/>
            <rFont val="Tahoma"/>
            <family val="2"/>
          </rPr>
          <t>User:</t>
        </r>
        <r>
          <rPr>
            <sz val="9"/>
            <color indexed="81"/>
            <rFont val="Tahoma"/>
            <family val="2"/>
          </rPr>
          <t xml:space="preserve">
variable for consiliation of Balance Sheet
</t>
        </r>
      </text>
    </comment>
    <comment ref="J402" authorId="0" shapeId="0" xr:uid="{C2BD3788-5077-4444-BC6F-91E963F9CD82}">
      <text>
        <r>
          <rPr>
            <b/>
            <sz val="9"/>
            <color indexed="81"/>
            <rFont val="Tahoma"/>
            <family val="2"/>
          </rPr>
          <t>User:</t>
        </r>
        <r>
          <rPr>
            <sz val="9"/>
            <color indexed="81"/>
            <rFont val="Tahoma"/>
            <family val="2"/>
          </rPr>
          <t xml:space="preserve">
variable for consiliation of Balance Sheet
</t>
        </r>
      </text>
    </comment>
    <comment ref="K402" authorId="0" shapeId="0" xr:uid="{87C63CE1-3BAE-4662-99E1-A1AE0E72FCAB}">
      <text>
        <r>
          <rPr>
            <b/>
            <sz val="9"/>
            <color indexed="81"/>
            <rFont val="Tahoma"/>
            <family val="2"/>
          </rPr>
          <t>User:</t>
        </r>
        <r>
          <rPr>
            <sz val="9"/>
            <color indexed="81"/>
            <rFont val="Tahoma"/>
            <family val="2"/>
          </rPr>
          <t xml:space="preserve">
variable for consiliation of Balance Sheet
</t>
        </r>
      </text>
    </comment>
    <comment ref="L402" authorId="0" shapeId="0" xr:uid="{C0F780C2-3FF9-42E3-803A-A4FDB31924C7}">
      <text>
        <r>
          <rPr>
            <b/>
            <sz val="9"/>
            <color indexed="81"/>
            <rFont val="Tahoma"/>
            <family val="2"/>
          </rPr>
          <t>User:</t>
        </r>
        <r>
          <rPr>
            <sz val="9"/>
            <color indexed="81"/>
            <rFont val="Tahoma"/>
            <family val="2"/>
          </rPr>
          <t xml:space="preserve">
variable for consiliation of Balance Sheet
</t>
        </r>
      </text>
    </comment>
    <comment ref="H407" authorId="0" shapeId="0" xr:uid="{64E254BC-972F-45C4-BD7F-E10DDDF0E3D4}">
      <text>
        <r>
          <rPr>
            <sz val="9"/>
            <color indexed="81"/>
            <rFont val="Tahoma"/>
            <family val="2"/>
          </rPr>
          <t xml:space="preserve">
Historical "</t>
        </r>
        <r>
          <rPr>
            <b/>
            <sz val="9"/>
            <color indexed="81"/>
            <rFont val="Tahoma"/>
            <family val="2"/>
          </rPr>
          <t xml:space="preserve">+Stock Based Compensation" </t>
        </r>
        <r>
          <rPr>
            <sz val="9"/>
            <color indexed="81"/>
            <rFont val="Tahoma"/>
            <family val="2"/>
          </rPr>
          <t xml:space="preserve">(C290:G290) is </t>
        </r>
        <r>
          <rPr>
            <b/>
            <sz val="9"/>
            <color indexed="81"/>
            <rFont val="Tahoma"/>
            <family val="2"/>
          </rPr>
          <t>a plug</t>
        </r>
        <r>
          <rPr>
            <sz val="9"/>
            <color indexed="81"/>
            <rFont val="Tahoma"/>
            <family val="2"/>
          </rPr>
          <t xml:space="preserve">, not the actual reported SBC expense, it's back-solved as Beg/End APIC, so it also absorbs the APIC impact of treasury share reissuances. That's correct for tying historical APIC to the reported balance sheet, but it means FY2025's plug ($14,812K) understates true SBC, which was actually </t>
        </r>
        <r>
          <rPr>
            <b/>
            <sz val="9"/>
            <color indexed="81"/>
            <rFont val="Tahoma"/>
            <family val="2"/>
          </rPr>
          <t>$18,812K</t>
        </r>
        <r>
          <rPr>
            <sz val="9"/>
            <color indexed="81"/>
            <rFont val="Tahoma"/>
            <family val="2"/>
          </rPr>
          <t xml:space="preserve"> per Note 8. Forecast </t>
        </r>
        <r>
          <rPr>
            <b/>
            <sz val="9"/>
            <color indexed="81"/>
            <rFont val="Tahoma"/>
            <family val="2"/>
          </rPr>
          <t>(H290 onward) is therefore anchored off the actual disclosed FY2025 SBC figure ($18,812K)</t>
        </r>
        <r>
          <rPr>
            <sz val="9"/>
            <color indexed="81"/>
            <rFont val="Tahoma"/>
            <family val="2"/>
          </rPr>
          <t xml:space="preserve"> rather than the FY2025 plug, then grown at the assumed rate (row 292) — not chained off G290. This avoids compounding the historical-plug distortion into the forecast.</t>
        </r>
      </text>
    </comment>
    <comment ref="H408" authorId="0" shapeId="0" xr:uid="{0B50D5E1-D152-400D-9BCD-2CE5DBCD31F0}">
      <text>
        <r>
          <rPr>
            <b/>
            <sz val="9"/>
            <color indexed="81"/>
            <rFont val="Tahoma"/>
            <family val="2"/>
          </rPr>
          <t>User:</t>
        </r>
        <r>
          <rPr>
            <sz val="9"/>
            <color indexed="81"/>
            <rFont val="Tahoma"/>
            <family val="2"/>
          </rPr>
          <t xml:space="preserve">
This is what was issued to pay APC</t>
        </r>
      </text>
    </comment>
    <comment ref="H410" authorId="0" shapeId="0" xr:uid="{B3BAB624-FF50-4F07-8E0C-050ABBE7D8A4}">
      <text>
        <r>
          <rPr>
            <b/>
            <sz val="9"/>
            <color indexed="81"/>
            <rFont val="Tahoma"/>
            <family val="2"/>
          </rPr>
          <t>User:</t>
        </r>
        <r>
          <rPr>
            <sz val="9"/>
            <color indexed="81"/>
            <rFont val="Tahoma"/>
            <family val="2"/>
          </rPr>
          <t xml:space="preserve">
Assuming that stock based Comp will increase by 2% in the future
</t>
        </r>
      </text>
    </comment>
    <comment ref="H413" authorId="0" shapeId="0" xr:uid="{F7395A38-244F-44D2-A896-20F2DF963947}">
      <text>
        <r>
          <rPr>
            <b/>
            <sz val="9"/>
            <color indexed="81"/>
            <rFont val="Tahoma"/>
            <family val="2"/>
          </rPr>
          <t>User:</t>
        </r>
        <r>
          <rPr>
            <sz val="9"/>
            <color indexed="81"/>
            <rFont val="Tahoma"/>
            <family val="2"/>
          </rPr>
          <t xml:space="preserve">
</t>
        </r>
      </text>
    </comment>
    <comment ref="H416" authorId="0" shapeId="0" xr:uid="{D954F39E-F3CB-4A44-A694-9A4DBD509FDA}">
      <text>
        <r>
          <rPr>
            <b/>
            <sz val="9"/>
            <color indexed="81"/>
            <rFont val="Tahoma"/>
            <family val="2"/>
          </rPr>
          <t>User:</t>
        </r>
        <r>
          <rPr>
            <sz val="9"/>
            <color indexed="81"/>
            <rFont val="Tahoma"/>
            <family val="2"/>
          </rPr>
          <t xml:space="preserve">
based on previous years TR as % of SB comp</t>
        </r>
      </text>
    </comment>
    <comment ref="E429" authorId="0" shapeId="0" xr:uid="{0A74F67D-EF59-4E1B-9001-16156B353DDF}">
      <text>
        <r>
          <rPr>
            <b/>
            <sz val="9"/>
            <color indexed="81"/>
            <rFont val="Tahoma"/>
            <family val="2"/>
          </rPr>
          <t>User:</t>
        </r>
        <r>
          <rPr>
            <sz val="9"/>
            <color indexed="81"/>
            <rFont val="Tahoma"/>
            <family val="2"/>
          </rPr>
          <t xml:space="preserve">
From 10k</t>
        </r>
      </text>
    </comment>
    <comment ref="F429" authorId="0" shapeId="0" xr:uid="{5F9A11E7-DD7F-46DB-AA40-3B7AA2EB0548}">
      <text>
        <r>
          <rPr>
            <b/>
            <sz val="9"/>
            <color indexed="81"/>
            <rFont val="Tahoma"/>
            <family val="2"/>
          </rPr>
          <t>User:</t>
        </r>
        <r>
          <rPr>
            <sz val="9"/>
            <color indexed="81"/>
            <rFont val="Tahoma"/>
            <family val="2"/>
          </rPr>
          <t xml:space="preserve">
From 10k</t>
        </r>
      </text>
    </comment>
    <comment ref="G429" authorId="0" shapeId="0" xr:uid="{B73F94D9-3E3D-4E89-AA39-A78E7180C50A}">
      <text>
        <r>
          <rPr>
            <b/>
            <sz val="9"/>
            <color indexed="81"/>
            <rFont val="Tahoma"/>
            <family val="2"/>
          </rPr>
          <t>User:</t>
        </r>
        <r>
          <rPr>
            <sz val="9"/>
            <color indexed="81"/>
            <rFont val="Tahoma"/>
            <family val="2"/>
          </rPr>
          <t xml:space="preserve">
From 10k</t>
        </r>
      </text>
    </comment>
    <comment ref="H429" authorId="0" shapeId="0" xr:uid="{73B9F73A-C811-4C1C-AB9D-EF99D316C1E3}">
      <text>
        <r>
          <rPr>
            <b/>
            <sz val="9"/>
            <color indexed="81"/>
            <rFont val="Tahoma"/>
            <family val="2"/>
          </rPr>
          <t>User:</t>
        </r>
        <r>
          <rPr>
            <sz val="9"/>
            <color indexed="81"/>
            <rFont val="Tahoma"/>
            <family val="2"/>
          </rPr>
          <t xml:space="preserve">
From 10k
</t>
        </r>
      </text>
    </comment>
    <comment ref="I429" authorId="0" shapeId="0" xr:uid="{47F1161A-5BC2-4283-8520-35B47E3E27F9}">
      <text>
        <r>
          <rPr>
            <b/>
            <sz val="9"/>
            <color indexed="81"/>
            <rFont val="Tahoma"/>
            <family val="2"/>
          </rPr>
          <t>User:</t>
        </r>
        <r>
          <rPr>
            <sz val="9"/>
            <color indexed="81"/>
            <rFont val="Tahoma"/>
            <family val="2"/>
          </rPr>
          <t xml:space="preserve">
From 10k
</t>
        </r>
      </text>
    </comment>
    <comment ref="J429" authorId="0" shapeId="0" xr:uid="{0F9B608C-03C8-4A11-BBED-E87C08A47349}">
      <text>
        <r>
          <rPr>
            <b/>
            <sz val="9"/>
            <color indexed="81"/>
            <rFont val="Tahoma"/>
            <family val="2"/>
          </rPr>
          <t>User:</t>
        </r>
        <r>
          <rPr>
            <sz val="9"/>
            <color indexed="81"/>
            <rFont val="Tahoma"/>
            <family val="2"/>
          </rPr>
          <t xml:space="preserve">
Average Across 5 years of lease payments</t>
        </r>
      </text>
    </comment>
    <comment ref="K429" authorId="0" shapeId="0" xr:uid="{FB3F5CC1-2B1A-429B-B14B-56C277A7E1CE}">
      <text>
        <r>
          <rPr>
            <sz val="9"/>
            <color indexed="81"/>
            <rFont val="Tahoma"/>
            <family val="2"/>
          </rPr>
          <t>Assumption new leases signed are in the future the average of past leases signed</t>
        </r>
      </text>
    </comment>
    <comment ref="F435" authorId="0" shapeId="0" xr:uid="{CC22A7E4-7FC0-4F9C-9AAC-D075FEC0B530}">
      <text>
        <r>
          <rPr>
            <b/>
            <sz val="9"/>
            <color indexed="81"/>
            <rFont val="Tahoma"/>
            <family val="2"/>
          </rPr>
          <t>User:</t>
        </r>
        <r>
          <rPr>
            <sz val="9"/>
            <color indexed="81"/>
            <rFont val="Tahoma"/>
            <family val="2"/>
          </rPr>
          <t xml:space="preserve">
From 10k</t>
        </r>
      </text>
    </comment>
    <comment ref="G435" authorId="0" shapeId="0" xr:uid="{F8336CEB-8668-44B0-8965-09DC145EF48A}">
      <text>
        <r>
          <rPr>
            <b/>
            <sz val="9"/>
            <color indexed="81"/>
            <rFont val="Tahoma"/>
            <family val="2"/>
          </rPr>
          <t>User:</t>
        </r>
        <r>
          <rPr>
            <sz val="9"/>
            <color indexed="81"/>
            <rFont val="Tahoma"/>
            <family val="2"/>
          </rPr>
          <t xml:space="preserve">
From 10k</t>
        </r>
      </text>
    </comment>
    <comment ref="H435" authorId="0" shapeId="0" xr:uid="{3CA3F96E-B46A-4FAD-B981-822B517B8A88}">
      <text>
        <r>
          <rPr>
            <b/>
            <sz val="9"/>
            <color indexed="81"/>
            <rFont val="Tahoma"/>
            <family val="2"/>
          </rPr>
          <t>User:</t>
        </r>
        <r>
          <rPr>
            <sz val="9"/>
            <color indexed="81"/>
            <rFont val="Tahoma"/>
            <family val="2"/>
          </rPr>
          <t xml:space="preserve">
Numbers from 10k
</t>
        </r>
      </text>
    </comment>
    <comment ref="H438" authorId="0" shapeId="0" xr:uid="{90FE01B6-DC84-4D63-B09C-DA2463CE0825}">
      <text>
        <r>
          <rPr>
            <b/>
            <sz val="9"/>
            <color indexed="81"/>
            <rFont val="Tahoma"/>
            <family val="2"/>
          </rPr>
          <t>User:</t>
        </r>
        <r>
          <rPr>
            <sz val="9"/>
            <color indexed="81"/>
            <rFont val="Tahoma"/>
            <family val="2"/>
          </rPr>
          <t xml:space="preserve">
From 10k
</t>
        </r>
      </text>
    </comment>
    <comment ref="J439" authorId="0" shapeId="0" xr:uid="{96CE730F-CB34-427C-A6DD-0FAF5370EA11}">
      <text>
        <r>
          <rPr>
            <b/>
            <sz val="9"/>
            <color indexed="81"/>
            <rFont val="Tahoma"/>
            <family val="2"/>
          </rPr>
          <t>User:</t>
        </r>
        <r>
          <rPr>
            <sz val="9"/>
            <color indexed="81"/>
            <rFont val="Tahoma"/>
            <family val="2"/>
          </rPr>
          <t xml:space="preserve">
How much principal is paid based on the Beg. Lease Liability
</t>
        </r>
      </text>
    </comment>
    <comment ref="H449" authorId="0" shapeId="0" xr:uid="{CE60358E-747A-4590-855A-7E9B286FD634}">
      <text>
        <r>
          <rPr>
            <b/>
            <sz val="9"/>
            <color indexed="81"/>
            <rFont val="Tahoma"/>
            <family val="2"/>
          </rPr>
          <t>User:</t>
        </r>
        <r>
          <rPr>
            <sz val="9"/>
            <color indexed="81"/>
            <rFont val="Tahoma"/>
            <family val="2"/>
          </rPr>
          <t xml:space="preserve">
Assuming Share Issuance is average of past 5 years
</t>
        </r>
      </text>
    </comment>
    <comment ref="H450" authorId="0" shapeId="0" xr:uid="{36580729-8C77-4035-A1FA-32CB63839B5C}">
      <text>
        <r>
          <rPr>
            <b/>
            <sz val="9"/>
            <color indexed="81"/>
            <rFont val="Tahoma"/>
            <family val="2"/>
          </rPr>
          <t>User:</t>
        </r>
        <r>
          <rPr>
            <sz val="9"/>
            <color indexed="81"/>
            <rFont val="Tahoma"/>
            <family val="2"/>
          </rPr>
          <t xml:space="preserve">
Assuming Share Repurchase is average past 5 years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K10" authorId="0" shapeId="0" xr:uid="{BA9AF5FB-D348-4863-867A-86892D1C0514}">
      <text>
        <r>
          <rPr>
            <b/>
            <sz val="9"/>
            <color indexed="81"/>
            <rFont val="Tahoma"/>
            <family val="2"/>
          </rPr>
          <t>User:</t>
        </r>
        <r>
          <rPr>
            <sz val="9"/>
            <color indexed="81"/>
            <rFont val="Tahoma"/>
            <family val="2"/>
          </rPr>
          <t xml:space="preserve">
From 10k
</t>
        </r>
      </text>
    </comment>
    <comment ref="K11" authorId="0" shapeId="0" xr:uid="{7E13906E-D942-488E-9824-A4096A97590F}">
      <text>
        <r>
          <rPr>
            <b/>
            <sz val="9"/>
            <color indexed="81"/>
            <rFont val="Tahoma"/>
            <family val="2"/>
          </rPr>
          <t>User:</t>
        </r>
        <r>
          <rPr>
            <sz val="9"/>
            <color indexed="81"/>
            <rFont val="Tahoma"/>
            <family val="2"/>
          </rPr>
          <t xml:space="preserve">
From 10k
</t>
        </r>
      </text>
    </comment>
    <comment ref="K16" authorId="0" shapeId="0" xr:uid="{AD8CAF5F-D2DD-4E44-9669-0B3741E7D904}">
      <text>
        <r>
          <rPr>
            <b/>
            <sz val="9"/>
            <color indexed="81"/>
            <rFont val="Tahoma"/>
            <family val="2"/>
          </rPr>
          <t>User:</t>
        </r>
        <r>
          <rPr>
            <sz val="9"/>
            <color indexed="81"/>
            <rFont val="Tahoma"/>
            <family val="2"/>
          </rPr>
          <t xml:space="preserve">
7/13/2026 5Y Tresury YTM</t>
        </r>
      </text>
    </comment>
    <comment ref="K18" authorId="0" shapeId="0" xr:uid="{0A9693F5-2CB0-4510-BFBA-533776804D21}">
      <text>
        <r>
          <rPr>
            <sz val="9"/>
            <color indexed="81"/>
            <rFont val="Tahoma"/>
            <family val="2"/>
          </rPr>
          <t>Market Expected Rate-Risk Free Rate</t>
        </r>
      </text>
    </comment>
    <comment ref="K19" authorId="0" shapeId="0" xr:uid="{663B0415-DE99-4579-8BC3-9DC7722E4A60}">
      <text>
        <r>
          <rPr>
            <b/>
            <sz val="9"/>
            <color indexed="81"/>
            <rFont val="Tahoma"/>
            <family val="2"/>
          </rPr>
          <t>Average</t>
        </r>
      </text>
    </comment>
    <comment ref="K20" authorId="0" shapeId="0" xr:uid="{5809B31A-DF5F-47B0-8B95-6FC6FC582FA1}">
      <text>
        <r>
          <rPr>
            <b/>
            <sz val="9"/>
            <color indexed="81"/>
            <rFont val="Tahoma"/>
            <family val="2"/>
          </rPr>
          <t>User:</t>
        </r>
        <r>
          <rPr>
            <sz val="9"/>
            <color indexed="81"/>
            <rFont val="Tahoma"/>
            <family val="2"/>
          </rPr>
          <t xml:space="preserve">
From Capital IQ 5Y average Beta (07/13/2026)
</t>
        </r>
      </text>
    </comment>
    <comment ref="K22" authorId="0" shapeId="0" xr:uid="{2C681840-7DA4-45FA-8024-A264748C740A}">
      <text>
        <r>
          <rPr>
            <b/>
            <sz val="9"/>
            <color indexed="81"/>
            <rFont val="Tahoma"/>
            <family val="2"/>
          </rPr>
          <t>User:</t>
        </r>
        <r>
          <rPr>
            <sz val="9"/>
            <color indexed="81"/>
            <rFont val="Tahoma"/>
            <family val="2"/>
          </rPr>
          <t xml:space="preserve">
Interest Rate paid last year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M25" authorId="0" shapeId="0" xr:uid="{EE7DDBF6-DE56-435A-A455-B5EBFFB9C95C}">
      <text>
        <r>
          <rPr>
            <b/>
            <sz val="9"/>
            <color indexed="81"/>
            <rFont val="Tahoma"/>
            <family val="2"/>
          </rPr>
          <t>Sensible to Scenario Analysis</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<sst xmlns="http://schemas.openxmlformats.org/spreadsheetml/2006/main" count="986" uniqueCount="460">
  <si>
    <t>Income Statement</t>
  </si>
  <si>
    <t xml:space="preserve">For the Fiscal Period Ending
</t>
  </si>
  <si>
    <t>12 months
Aug-31-2020</t>
  </si>
  <si>
    <t>12 months
Aug-31-2021</t>
  </si>
  <si>
    <t>12 months
Aug-31-2022</t>
  </si>
  <si>
    <t>12 months
Aug-31-2023</t>
  </si>
  <si>
    <t>12 months
Aug-31-2024</t>
  </si>
  <si>
    <t>12 months
Aug-31-2025</t>
  </si>
  <si>
    <t>Currency</t>
  </si>
  <si>
    <t>USD</t>
  </si>
  <si>
    <t>Units</t>
  </si>
  <si>
    <t>Thousands</t>
  </si>
  <si>
    <t>Revenues</t>
  </si>
  <si>
    <t xml:space="preserve">  Net Merchandise Sales</t>
  </si>
  <si>
    <t xml:space="preserve">  Membership Income</t>
  </si>
  <si>
    <t xml:space="preserve">  Export Sales</t>
  </si>
  <si>
    <t xml:space="preserve">  Other Revenue &amp; Income</t>
  </si>
  <si>
    <t xml:space="preserve">  Total Revenues</t>
  </si>
  <si>
    <t xml:space="preserve">  Exports</t>
  </si>
  <si>
    <t xml:space="preserve">  Non-merchandise</t>
  </si>
  <si>
    <t>-</t>
  </si>
  <si>
    <t xml:space="preserve">  General and Administrative Expenses</t>
  </si>
  <si>
    <t xml:space="preserve">  Warehouse Club and Other Operations</t>
  </si>
  <si>
    <t xml:space="preserve">  Preopening Expenses</t>
  </si>
  <si>
    <t xml:space="preserve">  Asset Impairment and Closure Costs</t>
  </si>
  <si>
    <t xml:space="preserve">  Interest Expense</t>
  </si>
  <si>
    <t xml:space="preserve">  Interest Income</t>
  </si>
  <si>
    <t xml:space="preserve">  Reserve for AMT settlement</t>
  </si>
  <si>
    <t xml:space="preserve">  Separation Costs associated with Chief Executive Officer departure</t>
  </si>
  <si>
    <t xml:space="preserve">  Other Income/expense-net</t>
  </si>
  <si>
    <t xml:space="preserve">  Gain/loss on Disposal of Assets</t>
  </si>
  <si>
    <t xml:space="preserve">  Earnings before Taxes</t>
  </si>
  <si>
    <t>Taxes and Other Expenses</t>
  </si>
  <si>
    <t xml:space="preserve">  Provision for Income Tax</t>
  </si>
  <si>
    <t xml:space="preserve">  Income (loss) of Unconsolidated Affiliate</t>
  </si>
  <si>
    <t xml:space="preserve">  Minority Interest (After Tax)</t>
  </si>
  <si>
    <t xml:space="preserve">  Net Income (Loss)</t>
  </si>
  <si>
    <t>Charges on Net Income</t>
  </si>
  <si>
    <t xml:space="preserve">  Other Adjustments to Net Income</t>
  </si>
  <si>
    <t>Supplementary Info</t>
  </si>
  <si>
    <t xml:space="preserve">  Operating Income (Loss)</t>
  </si>
  <si>
    <t xml:space="preserve">  Basic EPS - Continuing Operations</t>
  </si>
  <si>
    <t xml:space="preserve">  Diluted EPS - Continuing Operations</t>
  </si>
  <si>
    <t xml:space="preserve">
               </t>
  </si>
  <si>
    <t>Balance Sheet</t>
  </si>
  <si>
    <t xml:space="preserve">Balance Sheet as of:
</t>
  </si>
  <si>
    <t>Current Assets</t>
  </si>
  <si>
    <t xml:space="preserve">  Cash and Cash Equivalents</t>
  </si>
  <si>
    <t xml:space="preserve">  Short-term Investments</t>
  </si>
  <si>
    <t xml:space="preserve">  Receivables</t>
  </si>
  <si>
    <t xml:space="preserve">  Merchandise Inventories</t>
  </si>
  <si>
    <t xml:space="preserve">  Prepaid Expenses and Other Current Assets</t>
  </si>
  <si>
    <t xml:space="preserve">  Short-term Restricted Cash</t>
  </si>
  <si>
    <t xml:space="preserve">  Total Current Assets</t>
  </si>
  <si>
    <t>Non Current Assets</t>
  </si>
  <si>
    <t xml:space="preserve">  Operating Lease Right-of-use Asset, Net</t>
  </si>
  <si>
    <t xml:space="preserve">  Property and Equipment, net</t>
  </si>
  <si>
    <t xml:space="preserve">  Property, Plant and Equipment, Net</t>
  </si>
  <si>
    <t xml:space="preserve">  Investment in Unconsolidated Affiliate</t>
  </si>
  <si>
    <t xml:space="preserve">  Equity-method Investment</t>
  </si>
  <si>
    <t xml:space="preserve">  Deferred Income Taxes</t>
  </si>
  <si>
    <t xml:space="preserve">  Deferred Tax Assets</t>
  </si>
  <si>
    <t xml:space="preserve">  Goodwill</t>
  </si>
  <si>
    <t xml:space="preserve">  Other Intangibles-net</t>
  </si>
  <si>
    <t xml:space="preserve">  Restricted Cash</t>
  </si>
  <si>
    <t xml:space="preserve">  Long-term Restricted Cash</t>
  </si>
  <si>
    <t xml:space="preserve">  Other Assets</t>
  </si>
  <si>
    <t xml:space="preserve">  Other Non-current Assets</t>
  </si>
  <si>
    <t xml:space="preserve">  Total Assets</t>
  </si>
  <si>
    <t>Current Liabilities</t>
  </si>
  <si>
    <t xml:space="preserve">  Accounts Payable</t>
  </si>
  <si>
    <t xml:space="preserve">  Accrued Salaries and Benefits</t>
  </si>
  <si>
    <t xml:space="preserve">  Accrued Salaries, Benefits and Related</t>
  </si>
  <si>
    <t xml:space="preserve">  Other Accrued Expenses and Other Current Liabilities</t>
  </si>
  <si>
    <t xml:space="preserve">  Short-term Borrowings</t>
  </si>
  <si>
    <t xml:space="preserve">  Long-term Debt-current Portion</t>
  </si>
  <si>
    <t xml:space="preserve">  Operating Lease Liabilities -current Portion</t>
  </si>
  <si>
    <t xml:space="preserve">  Income Tax Payable</t>
  </si>
  <si>
    <t xml:space="preserve">  Income Taxes Payable</t>
  </si>
  <si>
    <t xml:space="preserve">  Deferred Income</t>
  </si>
  <si>
    <t xml:space="preserve">  Total Current Liabilities</t>
  </si>
  <si>
    <t>Non Current Liabilities</t>
  </si>
  <si>
    <t xml:space="preserve">  Long-term Debt</t>
  </si>
  <si>
    <t xml:space="preserve">  Long-term Debts, Net of Current Portion</t>
  </si>
  <si>
    <t xml:space="preserve">  Long Term Operating Lease Liabilities</t>
  </si>
  <si>
    <t xml:space="preserve">  Deferred Tax Liability</t>
  </si>
  <si>
    <t xml:space="preserve">  Minority Interest</t>
  </si>
  <si>
    <t xml:space="preserve">  Other Long-term Liabilities</t>
  </si>
  <si>
    <t xml:space="preserve">  Long-term Income Taxes Payable, Net of Current Portion</t>
  </si>
  <si>
    <t>Shareholders' Equity</t>
  </si>
  <si>
    <t xml:space="preserve">  Common Stock - Par Value</t>
  </si>
  <si>
    <t xml:space="preserve">  Additional Paid in Capital</t>
  </si>
  <si>
    <t xml:space="preserve">  Treasury Stock - Common</t>
  </si>
  <si>
    <t xml:space="preserve">  Retained Earnings</t>
  </si>
  <si>
    <t xml:space="preserve">  Retained Earnings (Accumulated Deficit)</t>
  </si>
  <si>
    <t xml:space="preserve">  Accumulated Other Comprehensive Loss</t>
  </si>
  <si>
    <t xml:space="preserve">  Accumulated Other Comprehensive Income (Loss)</t>
  </si>
  <si>
    <t xml:space="preserve">  Total Shareholders Equity</t>
  </si>
  <si>
    <t xml:space="preserve">  Total Liabilities &amp; Shareholders Equity</t>
  </si>
  <si>
    <t>Note: For multiple class companies, total share counts are primary class equivalent, and for foreign companies listed as primary ADRs, total share counts are ADR-equivalent.</t>
  </si>
  <si>
    <t>Cash Flow</t>
  </si>
  <si>
    <t>Operating Activities</t>
  </si>
  <si>
    <t xml:space="preserve">  Net Income</t>
  </si>
  <si>
    <t xml:space="preserve">  Depreciation, Depletion and Amortization</t>
  </si>
  <si>
    <t xml:space="preserve">  Gain/loss on Sale of Property, Plant and Equipment</t>
  </si>
  <si>
    <t xml:space="preserve">  Equity in (Income) Losses of Unconsolidated Affiliate</t>
  </si>
  <si>
    <t xml:space="preserve">  Stock based Compensation</t>
  </si>
  <si>
    <t xml:space="preserve">  Provision for Doubtful Accounts</t>
  </si>
  <si>
    <t xml:space="preserve">  Receivables, Prepaid Expenses and Other Current Assets, Accrued Salaries and Benefits, Deferred Membership Income and Other A</t>
  </si>
  <si>
    <t xml:space="preserve">  Inventories</t>
  </si>
  <si>
    <t xml:space="preserve">  Cash Flow from Operating Activities</t>
  </si>
  <si>
    <t>Investing Activities</t>
  </si>
  <si>
    <t xml:space="preserve">  Additions to Property and Equipment</t>
  </si>
  <si>
    <t xml:space="preserve">  Proceeds From Sale of Property, Plant &amp; Equipment</t>
  </si>
  <si>
    <t xml:space="preserve">  Proceeds from the Disposal of Aeropost, Net of Divested Cash</t>
  </si>
  <si>
    <t xml:space="preserve">  Purchases of Short-term Investment</t>
  </si>
  <si>
    <t xml:space="preserve">  Proceeds from Settlement of Short-term Investments</t>
  </si>
  <si>
    <t xml:space="preserve">  Purchase of Long-term Investments</t>
  </si>
  <si>
    <t xml:space="preserve">  Proceeds from Settlement of Long-term Investments</t>
  </si>
  <si>
    <t xml:space="preserve">  Cash Flow from Investing Activities</t>
  </si>
  <si>
    <t>Financing Activities</t>
  </si>
  <si>
    <t xml:space="preserve">  Proceeds from Long-term Bank Borrowing</t>
  </si>
  <si>
    <t xml:space="preserve">  Repayments of Long-term Bank Borrowings</t>
  </si>
  <si>
    <t xml:space="preserve">  Proceeds from Short-term Bank Borrowings</t>
  </si>
  <si>
    <t xml:space="preserve">  Repayment of Short-term Bank Borrowings</t>
  </si>
  <si>
    <t xml:space="preserve">  Purchase of Treasury Stock</t>
  </si>
  <si>
    <t xml:space="preserve">  Purchase of Treasury Stock for Tax Withholding on Stock Compensation</t>
  </si>
  <si>
    <t xml:space="preserve">  Cash Dividend Payments</t>
  </si>
  <si>
    <t xml:space="preserve">  Other Financing Activities</t>
  </si>
  <si>
    <t xml:space="preserve">  Cash Flow from Financing Activities</t>
  </si>
  <si>
    <t>Other Adjustments</t>
  </si>
  <si>
    <t xml:space="preserve">  Foreign Exchange Rate Effect on Cash and Cash Equivalents</t>
  </si>
  <si>
    <t xml:space="preserve">  Cash Flow Net Changes in Cash</t>
  </si>
  <si>
    <t>Cashflows Statement</t>
  </si>
  <si>
    <t>Revenue</t>
  </si>
  <si>
    <t>COGS</t>
  </si>
  <si>
    <t>D&amp;A</t>
  </si>
  <si>
    <t>Sg&amp;A</t>
  </si>
  <si>
    <t>EBITDA</t>
  </si>
  <si>
    <t>EBIT</t>
  </si>
  <si>
    <t>Interest</t>
  </si>
  <si>
    <t>Pre-tax Income</t>
  </si>
  <si>
    <t>Taxes</t>
  </si>
  <si>
    <t>Net Income</t>
  </si>
  <si>
    <t>Drivers</t>
  </si>
  <si>
    <t>Dividends</t>
  </si>
  <si>
    <t>Options Proceeds</t>
  </si>
  <si>
    <t>SG&amp;A</t>
  </si>
  <si>
    <t>Assets</t>
  </si>
  <si>
    <t>Liabilities</t>
  </si>
  <si>
    <t>L+E</t>
  </si>
  <si>
    <t>Check</t>
  </si>
  <si>
    <t>Revenue Breakdown</t>
  </si>
  <si>
    <t>COGS Breakdown</t>
  </si>
  <si>
    <t>Debt Schdule and Interest Repayment</t>
  </si>
  <si>
    <t>Cashflow Available for Financing</t>
  </si>
  <si>
    <t>Stock Buybacks</t>
  </si>
  <si>
    <t>Min. Cash Balance</t>
  </si>
  <si>
    <t>Beg. LTD</t>
  </si>
  <si>
    <t>LTD issued</t>
  </si>
  <si>
    <t>Debt Repaid</t>
  </si>
  <si>
    <t>End. LTD</t>
  </si>
  <si>
    <t>Beg. Revolver</t>
  </si>
  <si>
    <t>Revolver Paydown/Draw</t>
  </si>
  <si>
    <t xml:space="preserve">End. Revolver </t>
  </si>
  <si>
    <t>Interest Expense</t>
  </si>
  <si>
    <t>Interest Income</t>
  </si>
  <si>
    <t>Net Interest Expense</t>
  </si>
  <si>
    <t>Other Expenses</t>
  </si>
  <si>
    <t>SG&amp;A Breakdown &amp; Other Expenses</t>
  </si>
  <si>
    <t>Effective Tax Rate</t>
  </si>
  <si>
    <t>Other Expenses Before Tax</t>
  </si>
  <si>
    <t xml:space="preserve"> </t>
  </si>
  <si>
    <t>NWC</t>
  </si>
  <si>
    <t>DSO</t>
  </si>
  <si>
    <t>Prepaid Expenses and Other Current Assets as a % of Revenue</t>
  </si>
  <si>
    <t>DPO</t>
  </si>
  <si>
    <t>PP&amp;E and Intangibles Schedule</t>
  </si>
  <si>
    <t>Beg. PP&amp;E</t>
  </si>
  <si>
    <t>(Depreciation)</t>
  </si>
  <si>
    <t>End. PP&amp;E</t>
  </si>
  <si>
    <t>(Sale of PP&amp;E)</t>
  </si>
  <si>
    <t>Depreciation as % of Capex</t>
  </si>
  <si>
    <t>Cash Available for Debt Paydown/Draw</t>
  </si>
  <si>
    <t>Interest Expense rate</t>
  </si>
  <si>
    <t>Interest Income rate</t>
  </si>
  <si>
    <t>Working Capital for Operations Schedule</t>
  </si>
  <si>
    <t>Current Assets for Operations</t>
  </si>
  <si>
    <t>Current Liabilities for Operations</t>
  </si>
  <si>
    <t>Sale of PPE as % of Revenue</t>
  </si>
  <si>
    <t>Change in NWC</t>
  </si>
  <si>
    <t>Changes in NWC prior FX Translation &amp; Other Reconciling Items</t>
  </si>
  <si>
    <t>FX Translation &amp; Other Reconciling Items</t>
  </si>
  <si>
    <t>Other Non-Cash Adjustments</t>
  </si>
  <si>
    <t>Other Non Cash Adjustments</t>
  </si>
  <si>
    <t>Chnages in NWC</t>
  </si>
  <si>
    <t>Other Non Cash Adjustments and Changes in NWC</t>
  </si>
  <si>
    <t>Beg. Cash Balance</t>
  </si>
  <si>
    <t>End. Cash Balance</t>
  </si>
  <si>
    <t xml:space="preserve">Beg. Non Restricted Cash </t>
  </si>
  <si>
    <t>Equity Schedule</t>
  </si>
  <si>
    <t>-Dividends</t>
  </si>
  <si>
    <t>Dividend Payout</t>
  </si>
  <si>
    <t>Long Term Debt</t>
  </si>
  <si>
    <t>Operating Lease Liabilities</t>
  </si>
  <si>
    <t>Resttrcited Cash</t>
  </si>
  <si>
    <t>Revolver Interest rate</t>
  </si>
  <si>
    <t>Draw (Paydown) of Short term Bank Borrowings</t>
  </si>
  <si>
    <t>beg. Cash</t>
  </si>
  <si>
    <t>end. Cash</t>
  </si>
  <si>
    <t>RED: Numbers that need to be same as previous year, otherwise doesn't balance</t>
  </si>
  <si>
    <t>Assumption is that they grow flat (modelling assumption)</t>
  </si>
  <si>
    <t>Lease Schedule</t>
  </si>
  <si>
    <t>Beg. Lease Liability</t>
  </si>
  <si>
    <t>New lease signed</t>
  </si>
  <si>
    <t>End. Liability</t>
  </si>
  <si>
    <t>Discount Rate</t>
  </si>
  <si>
    <t>Payment</t>
  </si>
  <si>
    <t>Principal</t>
  </si>
  <si>
    <t>Principal Payment as % of Beg. Lease Liability</t>
  </si>
  <si>
    <t>Beg. ROU Asset</t>
  </si>
  <si>
    <t>New RoU Additions</t>
  </si>
  <si>
    <t>ROU ammortization</t>
  </si>
  <si>
    <t>End. ROU asset</t>
  </si>
  <si>
    <t>Beg. Additonal Paid in Capital</t>
  </si>
  <si>
    <t>End. Additional Paid in Capital</t>
  </si>
  <si>
    <t>Growth of Stock Based Compensation</t>
  </si>
  <si>
    <t>beg. Tresury Stock- Common</t>
  </si>
  <si>
    <t>-Share Repurchases</t>
  </si>
  <si>
    <t>+Tresury Reissuance</t>
  </si>
  <si>
    <t>+Stock Based Compensation</t>
  </si>
  <si>
    <t>end. Tresury Stock- Common</t>
  </si>
  <si>
    <t>Tresury Reissuance as % of stock based Compensation</t>
  </si>
  <si>
    <t>+NI</t>
  </si>
  <si>
    <t>Beg. Retained Earnings</t>
  </si>
  <si>
    <t>End. Retained Earnings</t>
  </si>
  <si>
    <t>Discounted Cashflow</t>
  </si>
  <si>
    <t>+D&amp;A</t>
  </si>
  <si>
    <t>-Tax</t>
  </si>
  <si>
    <t>-Capex</t>
  </si>
  <si>
    <t>FCFF</t>
  </si>
  <si>
    <t>Company name:</t>
  </si>
  <si>
    <t>Price Smart</t>
  </si>
  <si>
    <t>Date:</t>
  </si>
  <si>
    <t>Tax Rate</t>
  </si>
  <si>
    <t>Beginning basic shares outstanding</t>
  </si>
  <si>
    <t>New share issuance</t>
  </si>
  <si>
    <t>Share repurchase</t>
  </si>
  <si>
    <t>Ending basic shares outstanding</t>
  </si>
  <si>
    <t>Shares Outstanding</t>
  </si>
  <si>
    <t>Beta</t>
  </si>
  <si>
    <t>WACC</t>
  </si>
  <si>
    <t>Debt</t>
  </si>
  <si>
    <t>Non Controlling interests</t>
  </si>
  <si>
    <t>Preferred Shares</t>
  </si>
  <si>
    <t>Excess Cash (From Cash and Equivalents)</t>
  </si>
  <si>
    <t>Cost of Debt</t>
  </si>
  <si>
    <t>Cos of Equity</t>
  </si>
  <si>
    <t>Risk Free Rate</t>
  </si>
  <si>
    <t>Market Expected Return</t>
  </si>
  <si>
    <t>Price</t>
  </si>
  <si>
    <t>Equity</t>
  </si>
  <si>
    <t>Debt Proportion</t>
  </si>
  <si>
    <t>Equity Proportion</t>
  </si>
  <si>
    <t>E+D</t>
  </si>
  <si>
    <t>PV of FCFF</t>
  </si>
  <si>
    <t>Terminal value</t>
  </si>
  <si>
    <t>Perpetuity Growth</t>
  </si>
  <si>
    <t>GGM</t>
  </si>
  <si>
    <t>EV</t>
  </si>
  <si>
    <t>-Debt</t>
  </si>
  <si>
    <t>+Cash</t>
  </si>
  <si>
    <t>Dilutes Shares Outstanding</t>
  </si>
  <si>
    <t>Implied Share Price</t>
  </si>
  <si>
    <t>Implied Upside/Downsied</t>
  </si>
  <si>
    <t>-Changes in NWC</t>
  </si>
  <si>
    <t>Company Comp Set</t>
  </si>
  <si>
    <t>Company Name</t>
  </si>
  <si>
    <t>Almacenes Éxito S.A. (BVC:EXITO)</t>
  </si>
  <si>
    <t>Walmart Inc. (NasdaqGS:WMT)</t>
  </si>
  <si>
    <t>InRetail Perú Corp. (BVL:INRETC1)</t>
  </si>
  <si>
    <t>MercadoLibre, Inc. (NasdaqGS:MELI)</t>
  </si>
  <si>
    <t>BJ's Wholesale Club Holdings, Inc. (NYSE:BJ)</t>
  </si>
  <si>
    <t>Costco Wholesale Corporation (NasdaqGS:COST)</t>
  </si>
  <si>
    <t>PriceSmart, Inc. (NasdaqGS:PSMT)</t>
  </si>
  <si>
    <t>Summary Statistics</t>
  </si>
  <si>
    <t>High</t>
  </si>
  <si>
    <t>Low</t>
  </si>
  <si>
    <t>Mean</t>
  </si>
  <si>
    <t>Median</t>
  </si>
  <si>
    <t>NTM EV/EBITDA</t>
  </si>
  <si>
    <t xml:space="preserve">NTM TEV/Forward Total Revenue (Capital IQ) </t>
  </si>
  <si>
    <t xml:space="preserve">NTM TEV/Forward EBITDA (Capital IQ) </t>
  </si>
  <si>
    <t xml:space="preserve">NTM Forward P/E (Capital IQ) </t>
  </si>
  <si>
    <t xml:space="preserve">NTM TEV/Forward EBIT (Capital IQ) </t>
  </si>
  <si>
    <t>NTM EV/EBIT</t>
  </si>
  <si>
    <t>NTM P/E</t>
  </si>
  <si>
    <t>(In $000's except for per Share Items)</t>
  </si>
  <si>
    <t>Debugger</t>
  </si>
  <si>
    <t>Beg. Clubs</t>
  </si>
  <si>
    <t>Clubs (Stores)</t>
  </si>
  <si>
    <t>CEO Compensation</t>
  </si>
  <si>
    <t>Preopening expense per New Club</t>
  </si>
  <si>
    <t>Growth Capex (Club Openings)</t>
  </si>
  <si>
    <t>Maintenance  Capex</t>
  </si>
  <si>
    <t>Total Capex</t>
  </si>
  <si>
    <t>EV/EBITDA</t>
  </si>
  <si>
    <t>P/E</t>
  </si>
  <si>
    <t>EV/EBIT</t>
  </si>
  <si>
    <t>Gross Profit</t>
  </si>
  <si>
    <t>Changes in NWC</t>
  </si>
  <si>
    <t>Days Inventory Outstanding</t>
  </si>
  <si>
    <t>Equity Risk Premium</t>
  </si>
  <si>
    <t>Maintenance Capex per Club</t>
  </si>
  <si>
    <t>Membership Income per Club Growth</t>
  </si>
  <si>
    <t>Central America</t>
  </si>
  <si>
    <t>Caribbean</t>
  </si>
  <si>
    <t>Impact of Foreign Currency Exchange</t>
  </si>
  <si>
    <t>Net Merchandise Sales Per Region</t>
  </si>
  <si>
    <t>Net Merchandise Sales</t>
  </si>
  <si>
    <t>South America</t>
  </si>
  <si>
    <t>Total Clubs</t>
  </si>
  <si>
    <t>New Clubs</t>
  </si>
  <si>
    <t>End. Shareholders' Equity</t>
  </si>
  <si>
    <t>Sales in Constant Currency</t>
  </si>
  <si>
    <t>High Multiple</t>
  </si>
  <si>
    <t>Low Multiple</t>
  </si>
  <si>
    <t>Implied Price</t>
  </si>
  <si>
    <t>Methodology</t>
  </si>
  <si>
    <t>Weight</t>
  </si>
  <si>
    <t>Summary</t>
  </si>
  <si>
    <t>DCF</t>
  </si>
  <si>
    <t>Perpetuity Growth rate</t>
  </si>
  <si>
    <t>X-Axis Value (Valuation)</t>
  </si>
  <si>
    <t>Y-Axis Value (Height Placement)</t>
  </si>
  <si>
    <t>Start (Bottom)</t>
  </si>
  <si>
    <t>End (Top)</t>
  </si>
  <si>
    <t>Operating Margin</t>
  </si>
  <si>
    <t>G&amp;A growth per year</t>
  </si>
  <si>
    <t>Wearhouse Operations Growth</t>
  </si>
  <si>
    <t>Current Ratio</t>
  </si>
  <si>
    <t>CAPEX</t>
  </si>
  <si>
    <t>5 Year beta</t>
  </si>
  <si>
    <t>South America (Colombia)</t>
  </si>
  <si>
    <t>EBITDA/Revenue Margin</t>
  </si>
  <si>
    <t>Base</t>
  </si>
  <si>
    <t>Scenario</t>
  </si>
  <si>
    <t>Gross Margin</t>
  </si>
  <si>
    <t>-Tresury Reissuance</t>
  </si>
  <si>
    <t>w</t>
  </si>
  <si>
    <t>a</t>
  </si>
  <si>
    <t>c</t>
  </si>
  <si>
    <t>Scenario Analysis of   Exports % of Export Sales</t>
  </si>
  <si>
    <t>Financial Model for Price Smart</t>
  </si>
  <si>
    <t xml:space="preserve">  Stock based Compensation as a % of Revenue</t>
  </si>
  <si>
    <t xml:space="preserve">  Provision for Doubtful Accounts as a % of Revenue</t>
  </si>
  <si>
    <t xml:space="preserve">  Deferred Income Taxes as a % of Tax Expense</t>
  </si>
  <si>
    <t>Scenario Analysis of South America</t>
  </si>
  <si>
    <t>Scenario Analysis of Prices yearly increase</t>
  </si>
  <si>
    <t xml:space="preserve">  Net Merchandise Sales % Net Merchandise Sales</t>
  </si>
  <si>
    <t xml:space="preserve">  Exports % of Export Sales</t>
  </si>
  <si>
    <t xml:space="preserve">  General and Administrative Expenses per Club</t>
  </si>
  <si>
    <t xml:space="preserve">  Warehouse Club and Other Operations  per Club</t>
  </si>
  <si>
    <t xml:space="preserve">  Other Income/expense-net % of Revenue</t>
  </si>
  <si>
    <t xml:space="preserve">  Gain/loss on Disposal of Assets % of Revenue</t>
  </si>
  <si>
    <t xml:space="preserve">  Proceeds From Sale of Property, Plant &amp; Equipment as a % of beg. PPE</t>
  </si>
  <si>
    <t>Growth Capex (Club Openings) per Club</t>
  </si>
  <si>
    <t xml:space="preserve"> Membership Income per Club</t>
  </si>
  <si>
    <t>Export Sales Growth</t>
  </si>
  <si>
    <t>Other Revenue &amp; Income Growth</t>
  </si>
  <si>
    <t>Average Cash Balance</t>
  </si>
  <si>
    <t>EPS</t>
  </si>
  <si>
    <t>Omni Channel Sales of Total Merchandise Sales</t>
  </si>
  <si>
    <t xml:space="preserve">      Total</t>
  </si>
  <si>
    <t xml:space="preserve">   In-Store</t>
  </si>
  <si>
    <t xml:space="preserve">  Omni Channel</t>
  </si>
  <si>
    <t>Membership Income</t>
  </si>
  <si>
    <t>Export Sales</t>
  </si>
  <si>
    <t>Other Revenue &amp; Income</t>
  </si>
  <si>
    <t>Omni Channel Sales growth</t>
  </si>
  <si>
    <t>Revenue Growth</t>
  </si>
  <si>
    <t>Net Merchandise Physical Sales per Club prior Currency Effect</t>
  </si>
  <si>
    <t xml:space="preserve">  Accrued Salaries, Benefits and Related as  % of  Warehouse Club and Other Operations expense</t>
  </si>
  <si>
    <t xml:space="preserve">  Deferred Income as  % of Membership revenue</t>
  </si>
  <si>
    <t xml:space="preserve">  Other Accrued Expenses  as  % of Sales</t>
  </si>
  <si>
    <t>Per club</t>
  </si>
  <si>
    <t>Driver</t>
  </si>
  <si>
    <t>NPV of Growth Capex</t>
  </si>
  <si>
    <t>NPV of Maintainance Capex</t>
  </si>
  <si>
    <t>NPV of stores in Central America</t>
  </si>
  <si>
    <t>NPV of stores in Caribbean</t>
  </si>
  <si>
    <t>NPV of stores in South America</t>
  </si>
  <si>
    <t>EBITDA growth</t>
  </si>
  <si>
    <t>EBITDA Margin</t>
  </si>
  <si>
    <t>Maintainance Capex</t>
  </si>
  <si>
    <t>PV</t>
  </si>
  <si>
    <t>EBITDA Growth</t>
  </si>
  <si>
    <t>D&amp;A Growth</t>
  </si>
  <si>
    <t>SG&amp;A Growth</t>
  </si>
  <si>
    <t>Cash growth</t>
  </si>
  <si>
    <t>NPV of Total Capex</t>
  </si>
  <si>
    <t>EBITDA PV</t>
  </si>
  <si>
    <t>Sales Per Country Growth</t>
  </si>
  <si>
    <t>Sales Growth</t>
  </si>
  <si>
    <t>Paydown</t>
  </si>
  <si>
    <t>Cost Paydown</t>
  </si>
  <si>
    <t>Payback Period</t>
  </si>
  <si>
    <t>Metric</t>
  </si>
  <si>
    <t>2021-26 CAGR</t>
  </si>
  <si>
    <t>2026-31E CAGR</t>
  </si>
  <si>
    <t>Employees</t>
  </si>
  <si>
    <t>Businesses</t>
  </si>
  <si>
    <t>Profit</t>
  </si>
  <si>
    <t>Wages</t>
  </si>
  <si>
    <t>Revenue per employee</t>
  </si>
  <si>
    <t>Revenue per business</t>
  </si>
  <si>
    <t>Profit margin</t>
  </si>
  <si>
    <t>+0.6pp</t>
  </si>
  <si>
    <t>2026 revenue growth (single year)</t>
  </si>
  <si>
    <t>SG&amp;A/Revenue</t>
  </si>
  <si>
    <t>Cencosud S.A. (SNSE:CENCOSUD)</t>
  </si>
  <si>
    <t>0.67x</t>
  </si>
  <si>
    <t>7.86x</t>
  </si>
  <si>
    <t>12.96x</t>
  </si>
  <si>
    <t>10.22x</t>
  </si>
  <si>
    <t>Net Income Margin</t>
  </si>
  <si>
    <t>Bull</t>
  </si>
  <si>
    <t>Bear</t>
  </si>
  <si>
    <t>Scenario Analysis of Currency Exchange</t>
  </si>
  <si>
    <t>Effective tax rate</t>
  </si>
  <si>
    <t>PV of  Exit Value</t>
  </si>
  <si>
    <t>Tax/Net Income</t>
  </si>
  <si>
    <t>Net Income Change from Base Case in 2026</t>
  </si>
  <si>
    <t>Equity Research</t>
  </si>
  <si>
    <t>US</t>
  </si>
  <si>
    <t>Price Target</t>
  </si>
  <si>
    <t>Rating</t>
  </si>
  <si>
    <t>Sell</t>
  </si>
  <si>
    <t>Share Price (Aug.25  Close)</t>
  </si>
  <si>
    <t>Implied Upside</t>
  </si>
  <si>
    <t>Key Statistics</t>
  </si>
  <si>
    <t>Market Capitalization</t>
  </si>
  <si>
    <t>Total Debt</t>
  </si>
  <si>
    <t>$198.9M</t>
  </si>
  <si>
    <t>Enterprise Value</t>
  </si>
  <si>
    <t>Total Debt/EBITDA</t>
  </si>
  <si>
    <t>39.9x</t>
  </si>
  <si>
    <t>Market Cap/Revenue</t>
  </si>
  <si>
    <t>1.12x</t>
  </si>
  <si>
    <t>EPS (NTM)</t>
  </si>
  <si>
    <t>Analyst Forecast</t>
  </si>
  <si>
    <t>2026E</t>
  </si>
  <si>
    <t>2027E</t>
  </si>
  <si>
    <t>2028E</t>
  </si>
  <si>
    <t>UFCF</t>
  </si>
  <si>
    <t>Price Chart</t>
  </si>
  <si>
    <t>$5.396B</t>
  </si>
  <si>
    <t>$5.23B</t>
  </si>
  <si>
    <t>Weighted</t>
  </si>
  <si>
    <t>Nicolas Rivera Mendoza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</si>
</sst>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5" formatCode="&quot;$&quot;#,##0_);\(&quot;$&quot;#,##0\)"/>
    <numFmt numFmtId="6" formatCode="&quot;$&quot;#,##0_);[Red]\(&quot;$&quot;#,##0\)"/>
    <numFmt numFmtId="8" formatCode="&quot;$&quot;#,##0.00_);[Red]\(&quot;$&quot;#,##0.00\)"/>
    <numFmt numFmtId="43" formatCode="_(* #,##0.00_);_(* \(#,##0.00\);_(* &quot;-&quot;??_);_(@_)"/>
    <numFmt numFmtId="164" formatCode="_(* #,##0.0_);_(* \(#,##0.0\)_)\ ;_(* 0_)"/>
    <numFmt numFmtId="165" formatCode="_(* #,##0.0#_);_(* \(#,##0.0#\)_)\ ;_(* 0_)"/>
    <numFmt numFmtId="167" formatCode="0\A"/>
    <numFmt numFmtId="168" formatCode="0\F"/>
    <numFmt numFmtId="169" formatCode="_(* #,##0.0_);_(* \(#,##0.0\);_(* &quot;-&quot;?_);_(@_)"/>
    <numFmt numFmtId="170" formatCode="0.0%"/>
    <numFmt numFmtId="171" formatCode="0.0"/>
    <numFmt numFmtId="172" formatCode="_(* #,##0_);_(* \(#,##0\);_(* &quot;-&quot;??_);_(@_)"/>
    <numFmt numFmtId="173" formatCode="&quot;$&quot;#,##0.00"/>
    <numFmt numFmtId="174" formatCode="#,##0.0\x"/>
    <numFmt numFmtId="175" formatCode="#,##0.00\x"/>
    <numFmt numFmtId="176" formatCode="\(__\)00000"/>
    <numFmt numFmtId="177" formatCode="\'_$#,##0.00"/>
    <numFmt numFmtId="178" formatCode="#,##0.0,&quot;M&quot;"/>
    <numFmt numFmtId="179" formatCode="#,##0,&quot;M&quot;"/>
  </numFmts>
  <fonts count="35" x14ac:knownFonts="1">
    <font>
      <sz val="10"/>
      <name val="Arial"/>
      <family val="2"/>
    </font>
    <font>
      <sz val="10"/>
      <color theme="1"/>
      <name val="Aptos Narrow"/>
      <family val="2"/>
      <scheme val="minor"/>
    </font>
    <font>
      <sz val="8"/>
      <name val="Arial"/>
      <family val="2"/>
    </font>
    <font>
      <sz val="8"/>
      <color indexed="8"/>
      <name val="Arial"/>
      <family val="2"/>
    </font>
    <font>
      <b/>
      <sz val="8"/>
      <name val="Arial"/>
      <family val="2"/>
    </font>
    <font>
      <b/>
      <sz val="8"/>
      <color indexed="9"/>
      <name val="Verdana"/>
      <family val="2"/>
    </font>
    <font>
      <sz val="1"/>
      <color indexed="9"/>
      <name val="Symbol"/>
      <family val="1"/>
      <charset val="2"/>
    </font>
    <font>
      <b/>
      <sz val="8"/>
      <color indexed="8"/>
      <name val="Arial"/>
      <family val="2"/>
    </font>
    <font>
      <b/>
      <sz val="10"/>
      <name val="Arial"/>
      <family val="2"/>
    </font>
    <font>
      <sz val="9"/>
      <color indexed="81"/>
      <name val="Tahoma"/>
      <family val="2"/>
    </font>
    <font>
      <b/>
      <sz val="9"/>
      <color indexed="81"/>
      <name val="Tahoma"/>
      <family val="2"/>
    </font>
    <font>
      <u/>
      <sz val="10"/>
      <name val="Arial"/>
      <family val="2"/>
    </font>
    <font>
      <sz val="10"/>
      <color rgb="FF0000F4"/>
      <name val="Arial"/>
      <family val="2"/>
    </font>
    <font>
      <sz val="10"/>
      <color rgb="FF006600"/>
      <name val="Arial"/>
      <family val="2"/>
    </font>
    <font>
      <i/>
      <sz val="10"/>
      <name val="Arial"/>
      <family val="2"/>
    </font>
    <font>
      <sz val="10"/>
      <name val="Arial"/>
      <family val="2"/>
    </font>
    <font>
      <sz val="10"/>
      <color rgb="FFFF0000"/>
      <name val="Arial"/>
      <family val="2"/>
    </font>
    <font>
      <sz val="10"/>
      <color theme="0"/>
      <name val="Arial"/>
      <family val="2"/>
    </font>
    <font>
      <i/>
      <u/>
      <sz val="10"/>
      <name val="Arial"/>
      <family val="2"/>
    </font>
    <font>
      <sz val="11"/>
      <name val="Aptos Narrow"/>
      <family val="2"/>
      <scheme val="minor"/>
    </font>
    <font>
      <i/>
      <sz val="8"/>
      <name val="Arial"/>
      <family val="2"/>
    </font>
    <font>
      <sz val="10"/>
      <color indexed="8"/>
      <name val="Arial"/>
      <family val="2"/>
    </font>
    <font>
      <sz val="8"/>
      <color theme="0"/>
      <name val="Arial"/>
      <family val="2"/>
    </font>
    <font>
      <b/>
      <i/>
      <sz val="10"/>
      <name val="Arial"/>
      <family val="2"/>
    </font>
    <font>
      <b/>
      <sz val="12"/>
      <color rgb="FFFFFFFF"/>
      <name val="Aptos"/>
      <family val="2"/>
    </font>
    <font>
      <b/>
      <sz val="10"/>
      <color rgb="FF000000"/>
      <name val="Aptos"/>
      <family val="2"/>
    </font>
    <font>
      <b/>
      <sz val="10"/>
      <name val="Aptos"/>
      <family val="2"/>
    </font>
    <font>
      <sz val="10"/>
      <color rgb="FFEE0000"/>
      <name val="Aptos"/>
      <family val="2"/>
    </font>
    <font>
      <sz val="10"/>
      <name val="Aptos"/>
      <family val="2"/>
    </font>
    <font>
      <sz val="10"/>
      <color rgb="FF000000"/>
      <name val="Aptos"/>
      <family val="2"/>
    </font>
    <font>
      <b/>
      <sz val="11"/>
      <color rgb="FFFFFFFF"/>
      <name val="Aptos"/>
      <family val="2"/>
    </font>
    <font>
      <b/>
      <u/>
      <sz val="10"/>
      <color rgb="FF000000"/>
      <name val="Aptos"/>
      <family val="2"/>
    </font>
    <font>
      <b/>
      <sz val="10"/>
      <color rgb="FFFFFFFF"/>
      <name val="Aptos"/>
      <family val="2"/>
    </font>
    <font>
      <b/>
      <sz val="8"/>
      <color theme="0"/>
      <name val="Arial"/>
      <family val="2"/>
    </font>
    <font>
      <b/>
      <i/>
      <sz val="8"/>
      <color theme="0"/>
      <name val="Arial"/>
      <family val="2"/>
    </font>
  </fonts>
  <fills count="14">
    <fill>
      <patternFill patternType="none"/>
    </fill>
    <fill>
      <patternFill patternType="gray125"/>
    </fill>
    <fill>
      <patternFill patternType="solid">
        <fgColor indexed="56"/>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theme="3"/>
        <bgColor indexed="64"/>
      </patternFill>
    </fill>
    <fill>
      <patternFill patternType="solid">
        <fgColor theme="4"/>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theme="0"/>
        <bgColor indexed="64"/>
      </patternFill>
    </fill>
    <fill>
      <patternFill patternType="solid">
        <fgColor rgb="FFF2F2F2"/>
        <bgColor indexed="64"/>
      </patternFill>
    </fill>
    <fill>
      <patternFill patternType="solid">
        <fgColor rgb="FF156082"/>
        <bgColor indexed="64"/>
      </patternFill>
    </fill>
    <fill>
      <patternFill patternType="solid">
        <fgColor rgb="FFE8E8E8"/>
        <bgColor indexed="64"/>
      </patternFill>
    </fill>
  </fills>
  <borders count="10">
    <border>
      <left/>
      <right/>
      <top/>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style="thin">
        <color indexed="64"/>
      </bottom>
      <diagonal/>
    </border>
  </borders>
  <cellStyleXfs count="4">
    <xf numFmtId="0" fontId="0" fillId="0" borderId="0"/>
    <xf numFmtId="9" fontId="1" fillId="0" borderId="0" applyFont="0" applyFill="0" applyBorder="0" applyAlignment="0" applyProtection="0"/>
    <xf numFmtId="0" fontId="6" fillId="0" borderId="0" applyAlignment="0"/>
    <xf numFmtId="43" fontId="15" fillId="0" borderId="0" applyFont="0" applyFill="0" applyBorder="0" applyAlignment="0" applyProtection="0"/>
  </cellStyleXfs>
  <cellXfs count="308">
    <xf numFmtId="0" fontId="0" fillId="0" borderId="0" xfId="0"/>
    <xf numFmtId="0" fontId="2" fillId="0" borderId="0" xfId="0" applyFont="1"/>
    <xf numFmtId="0" fontId="3" fillId="0" borderId="0" xfId="0" applyFont="1" applyAlignment="1">
      <alignment horizontal="left" vertical="top"/>
    </xf>
    <xf numFmtId="0" fontId="4" fillId="0" borderId="0" xfId="0" applyFont="1"/>
    <xf numFmtId="0" fontId="5" fillId="2" borderId="0" xfId="0" applyFont="1" applyFill="1"/>
    <xf numFmtId="0" fontId="6" fillId="0" borderId="0" xfId="2" applyAlignment="1"/>
    <xf numFmtId="0" fontId="7" fillId="0" borderId="0" xfId="0" applyFont="1" applyAlignment="1">
      <alignment horizontal="left" vertical="top"/>
    </xf>
    <xf numFmtId="164" fontId="3" fillId="0" borderId="0" xfId="0" applyNumberFormat="1" applyFont="1" applyAlignment="1">
      <alignment horizontal="right" vertical="top" wrapText="1"/>
    </xf>
    <xf numFmtId="164" fontId="7" fillId="0" borderId="0" xfId="0" applyNumberFormat="1" applyFont="1" applyAlignment="1">
      <alignment horizontal="right" vertical="top" wrapText="1"/>
    </xf>
    <xf numFmtId="165" fontId="3" fillId="0" borderId="0" xfId="0" applyNumberFormat="1" applyFont="1" applyAlignment="1">
      <alignment horizontal="right" vertical="top" wrapText="1"/>
    </xf>
    <xf numFmtId="0" fontId="2" fillId="0" borderId="0" xfId="0" applyFont="1" applyAlignment="1">
      <alignment vertical="top" wrapText="1"/>
    </xf>
    <xf numFmtId="0" fontId="3" fillId="0" borderId="0" xfId="0" applyFont="1" applyAlignment="1">
      <alignment horizontal="center" vertical="center"/>
    </xf>
    <xf numFmtId="0" fontId="3" fillId="0" borderId="0" xfId="0" applyFont="1" applyAlignment="1">
      <alignment horizontal="center" vertical="center" wrapText="1"/>
    </xf>
    <xf numFmtId="0" fontId="0" fillId="0" borderId="1" xfId="0" applyBorder="1"/>
    <xf numFmtId="37" fontId="0" fillId="0" borderId="1" xfId="0" applyNumberFormat="1" applyBorder="1"/>
    <xf numFmtId="37" fontId="0" fillId="0" borderId="0" xfId="0" applyNumberFormat="1"/>
    <xf numFmtId="37" fontId="0" fillId="0" borderId="2" xfId="0" applyNumberFormat="1" applyBorder="1"/>
    <xf numFmtId="37" fontId="0" fillId="0" borderId="3" xfId="0" applyNumberFormat="1" applyBorder="1"/>
    <xf numFmtId="0" fontId="0" fillId="0" borderId="0" xfId="0" quotePrefix="1"/>
    <xf numFmtId="37" fontId="0" fillId="3" borderId="3" xfId="0" applyNumberFormat="1" applyFill="1" applyBorder="1"/>
    <xf numFmtId="9" fontId="0" fillId="0" borderId="0" xfId="0" applyNumberFormat="1"/>
    <xf numFmtId="14" fontId="0" fillId="0" borderId="0" xfId="0" applyNumberFormat="1"/>
    <xf numFmtId="0" fontId="0" fillId="0" borderId="0" xfId="0" applyAlignment="1">
      <alignment horizontal="centerContinuous"/>
    </xf>
    <xf numFmtId="167" fontId="0" fillId="0" borderId="0" xfId="0" applyNumberFormat="1"/>
    <xf numFmtId="168" fontId="0" fillId="0" borderId="0" xfId="0" applyNumberFormat="1"/>
    <xf numFmtId="0" fontId="0" fillId="0" borderId="3" xfId="0" applyBorder="1"/>
    <xf numFmtId="0" fontId="0" fillId="0" borderId="2" xfId="0" applyBorder="1"/>
    <xf numFmtId="167" fontId="0" fillId="0" borderId="1" xfId="0" applyNumberFormat="1" applyBorder="1"/>
    <xf numFmtId="0" fontId="0" fillId="0" borderId="4" xfId="0" applyBorder="1"/>
    <xf numFmtId="0" fontId="8" fillId="0" borderId="0" xfId="0" applyFont="1"/>
    <xf numFmtId="37" fontId="0" fillId="0" borderId="4" xfId="0" applyNumberFormat="1" applyBorder="1"/>
    <xf numFmtId="37" fontId="0" fillId="3" borderId="0" xfId="0" applyNumberFormat="1" applyFill="1"/>
    <xf numFmtId="37" fontId="0" fillId="3" borderId="1" xfId="0" applyNumberFormat="1" applyFill="1" applyBorder="1"/>
    <xf numFmtId="169" fontId="3" fillId="0" borderId="0" xfId="0" applyNumberFormat="1" applyFont="1" applyAlignment="1">
      <alignment horizontal="left" vertical="top"/>
    </xf>
    <xf numFmtId="9" fontId="0" fillId="0" borderId="0" xfId="1" applyFont="1"/>
    <xf numFmtId="9" fontId="0" fillId="0" borderId="1" xfId="1" applyFont="1" applyBorder="1"/>
    <xf numFmtId="0" fontId="3" fillId="3" borderId="0" xfId="0" applyFont="1" applyFill="1" applyAlignment="1">
      <alignment horizontal="left" vertical="top"/>
    </xf>
    <xf numFmtId="0" fontId="11" fillId="0" borderId="0" xfId="0" applyFont="1"/>
    <xf numFmtId="0" fontId="0" fillId="3" borderId="0" xfId="0" applyFill="1"/>
    <xf numFmtId="9" fontId="0" fillId="0" borderId="0" xfId="1" applyFont="1" applyFill="1"/>
    <xf numFmtId="9" fontId="0" fillId="0" borderId="1" xfId="1" applyFont="1" applyFill="1" applyBorder="1"/>
    <xf numFmtId="9" fontId="12" fillId="3" borderId="0" xfId="0" applyNumberFormat="1" applyFont="1" applyFill="1"/>
    <xf numFmtId="37" fontId="0" fillId="0" borderId="5" xfId="0" applyNumberFormat="1" applyBorder="1"/>
    <xf numFmtId="37" fontId="12" fillId="3" borderId="0" xfId="0" applyNumberFormat="1" applyFont="1" applyFill="1"/>
    <xf numFmtId="0" fontId="12" fillId="3" borderId="0" xfId="0" applyFont="1" applyFill="1"/>
    <xf numFmtId="37" fontId="13" fillId="0" borderId="0" xfId="0" applyNumberFormat="1" applyFont="1"/>
    <xf numFmtId="37" fontId="13" fillId="0" borderId="1" xfId="0" applyNumberFormat="1" applyFont="1" applyBorder="1"/>
    <xf numFmtId="0" fontId="13" fillId="0" borderId="0" xfId="0" applyFont="1"/>
    <xf numFmtId="0" fontId="13" fillId="0" borderId="3" xfId="0" applyFont="1" applyBorder="1"/>
    <xf numFmtId="37" fontId="13" fillId="0" borderId="3" xfId="0" applyNumberFormat="1" applyFont="1" applyBorder="1"/>
    <xf numFmtId="37" fontId="13" fillId="0" borderId="2" xfId="0" applyNumberFormat="1" applyFont="1" applyBorder="1"/>
    <xf numFmtId="170" fontId="0" fillId="0" borderId="0" xfId="1" applyNumberFormat="1" applyFont="1"/>
    <xf numFmtId="170" fontId="0" fillId="0" borderId="1" xfId="1" applyNumberFormat="1" applyFont="1" applyBorder="1"/>
    <xf numFmtId="170" fontId="12" fillId="3" borderId="0" xfId="0" applyNumberFormat="1" applyFont="1" applyFill="1"/>
    <xf numFmtId="171" fontId="0" fillId="0" borderId="0" xfId="0" applyNumberFormat="1"/>
    <xf numFmtId="171" fontId="0" fillId="0" borderId="1" xfId="0" applyNumberFormat="1" applyBorder="1"/>
    <xf numFmtId="171" fontId="12" fillId="3" borderId="0" xfId="0" applyNumberFormat="1" applyFont="1" applyFill="1"/>
    <xf numFmtId="170" fontId="12" fillId="3" borderId="0" xfId="1" applyNumberFormat="1" applyFont="1" applyFill="1"/>
    <xf numFmtId="2" fontId="12" fillId="3" borderId="0" xfId="0" applyNumberFormat="1" applyFont="1" applyFill="1"/>
    <xf numFmtId="37" fontId="12" fillId="0" borderId="0" xfId="0" applyNumberFormat="1" applyFont="1"/>
    <xf numFmtId="37" fontId="12" fillId="0" borderId="1" xfId="0" applyNumberFormat="1" applyFont="1" applyBorder="1"/>
    <xf numFmtId="0" fontId="12" fillId="0" borderId="3" xfId="0" applyFont="1" applyBorder="1"/>
    <xf numFmtId="0" fontId="12" fillId="0" borderId="2" xfId="0" applyFont="1" applyBorder="1"/>
    <xf numFmtId="9" fontId="0" fillId="3" borderId="0" xfId="1" applyFont="1" applyFill="1"/>
    <xf numFmtId="9" fontId="0" fillId="3" borderId="1" xfId="1" applyFont="1" applyFill="1" applyBorder="1"/>
    <xf numFmtId="37" fontId="13" fillId="0" borderId="4" xfId="0" applyNumberFormat="1" applyFont="1" applyBorder="1"/>
    <xf numFmtId="10" fontId="0" fillId="0" borderId="0" xfId="1" applyNumberFormat="1" applyFont="1"/>
    <xf numFmtId="10" fontId="0" fillId="0" borderId="1" xfId="1" applyNumberFormat="1" applyFont="1" applyBorder="1"/>
    <xf numFmtId="10" fontId="0" fillId="0" borderId="0" xfId="0" applyNumberFormat="1"/>
    <xf numFmtId="10" fontId="12" fillId="3" borderId="0" xfId="0" applyNumberFormat="1" applyFont="1" applyFill="1"/>
    <xf numFmtId="169" fontId="2" fillId="0" borderId="0" xfId="0" applyNumberFormat="1" applyFont="1"/>
    <xf numFmtId="164" fontId="2" fillId="0" borderId="0" xfId="0" applyNumberFormat="1" applyFont="1"/>
    <xf numFmtId="0" fontId="0" fillId="3" borderId="1" xfId="0" applyFill="1" applyBorder="1"/>
    <xf numFmtId="0" fontId="0" fillId="3" borderId="3" xfId="0" applyFill="1" applyBorder="1"/>
    <xf numFmtId="0" fontId="0" fillId="3" borderId="2" xfId="0" applyFill="1" applyBorder="1"/>
    <xf numFmtId="37" fontId="12" fillId="3" borderId="3" xfId="0" applyNumberFormat="1" applyFont="1" applyFill="1" applyBorder="1"/>
    <xf numFmtId="10" fontId="0" fillId="3" borderId="0" xfId="1" applyNumberFormat="1" applyFont="1" applyFill="1"/>
    <xf numFmtId="3" fontId="0" fillId="0" borderId="0" xfId="0" applyNumberFormat="1"/>
    <xf numFmtId="3" fontId="12" fillId="0" borderId="0" xfId="0" applyNumberFormat="1" applyFont="1"/>
    <xf numFmtId="3" fontId="12" fillId="0" borderId="3" xfId="0" applyNumberFormat="1" applyFont="1" applyBorder="1"/>
    <xf numFmtId="10" fontId="0" fillId="0" borderId="0" xfId="1" applyNumberFormat="1" applyFont="1" applyBorder="1"/>
    <xf numFmtId="37" fontId="0" fillId="4" borderId="0" xfId="0" applyNumberFormat="1" applyFill="1"/>
    <xf numFmtId="37" fontId="0" fillId="4" borderId="3" xfId="0" applyNumberFormat="1" applyFill="1" applyBorder="1"/>
    <xf numFmtId="43" fontId="0" fillId="0" borderId="0" xfId="3" applyFont="1"/>
    <xf numFmtId="43" fontId="0" fillId="0" borderId="4" xfId="3" applyFont="1" applyBorder="1"/>
    <xf numFmtId="43" fontId="13" fillId="0" borderId="0" xfId="3" applyFont="1"/>
    <xf numFmtId="43" fontId="13" fillId="0" borderId="1" xfId="3" applyFont="1" applyBorder="1"/>
    <xf numFmtId="172" fontId="13" fillId="0" borderId="0" xfId="3" applyNumberFormat="1" applyFont="1"/>
    <xf numFmtId="172" fontId="13" fillId="0" borderId="1" xfId="3" applyNumberFormat="1" applyFont="1" applyBorder="1"/>
    <xf numFmtId="172" fontId="13" fillId="0" borderId="3" xfId="3" applyNumberFormat="1" applyFont="1" applyBorder="1"/>
    <xf numFmtId="172" fontId="13" fillId="0" borderId="2" xfId="3" applyNumberFormat="1" applyFont="1" applyBorder="1"/>
    <xf numFmtId="172" fontId="0" fillId="0" borderId="0" xfId="3" applyNumberFormat="1" applyFont="1"/>
    <xf numFmtId="172" fontId="0" fillId="0" borderId="0" xfId="0" applyNumberFormat="1"/>
    <xf numFmtId="37" fontId="16" fillId="3" borderId="0" xfId="0" applyNumberFormat="1" applyFont="1" applyFill="1"/>
    <xf numFmtId="37" fontId="16" fillId="3" borderId="3" xfId="0" applyNumberFormat="1" applyFont="1" applyFill="1" applyBorder="1"/>
    <xf numFmtId="37" fontId="16" fillId="4" borderId="0" xfId="0" applyNumberFormat="1" applyFont="1" applyFill="1"/>
    <xf numFmtId="172" fontId="16" fillId="0" borderId="0" xfId="0" applyNumberFormat="1" applyFont="1"/>
    <xf numFmtId="37" fontId="16" fillId="4" borderId="5" xfId="0" applyNumberFormat="1" applyFont="1" applyFill="1" applyBorder="1"/>
    <xf numFmtId="0" fontId="16" fillId="0" borderId="0" xfId="0" applyFont="1"/>
    <xf numFmtId="172" fontId="0" fillId="0" borderId="1" xfId="0" applyNumberFormat="1" applyBorder="1"/>
    <xf numFmtId="37" fontId="12" fillId="3" borderId="6" xfId="0" applyNumberFormat="1" applyFont="1" applyFill="1" applyBorder="1"/>
    <xf numFmtId="9" fontId="13" fillId="0" borderId="0" xfId="1" applyFont="1" applyFill="1" applyBorder="1"/>
    <xf numFmtId="43" fontId="0" fillId="0" borderId="0" xfId="0" applyNumberFormat="1"/>
    <xf numFmtId="10" fontId="0" fillId="3" borderId="0" xfId="0" applyNumberFormat="1" applyFill="1"/>
    <xf numFmtId="3" fontId="12" fillId="3" borderId="0" xfId="0" applyNumberFormat="1" applyFont="1" applyFill="1"/>
    <xf numFmtId="0" fontId="0" fillId="0" borderId="8" xfId="0" applyBorder="1"/>
    <xf numFmtId="3" fontId="12" fillId="3" borderId="8" xfId="0" applyNumberFormat="1" applyFont="1" applyFill="1" applyBorder="1"/>
    <xf numFmtId="172" fontId="0" fillId="0" borderId="3" xfId="0" applyNumberFormat="1" applyBorder="1"/>
    <xf numFmtId="43" fontId="12" fillId="3" borderId="8" xfId="0" applyNumberFormat="1" applyFont="1" applyFill="1" applyBorder="1"/>
    <xf numFmtId="3" fontId="12" fillId="3" borderId="1" xfId="0" applyNumberFormat="1" applyFont="1" applyFill="1" applyBorder="1"/>
    <xf numFmtId="3" fontId="12" fillId="3" borderId="4" xfId="0" applyNumberFormat="1" applyFont="1" applyFill="1" applyBorder="1"/>
    <xf numFmtId="43" fontId="0" fillId="0" borderId="1" xfId="0" applyNumberFormat="1" applyBorder="1"/>
    <xf numFmtId="43" fontId="0" fillId="0" borderId="3" xfId="0" applyNumberFormat="1" applyBorder="1"/>
    <xf numFmtId="43" fontId="0" fillId="0" borderId="2" xfId="0" applyNumberFormat="1" applyBorder="1"/>
    <xf numFmtId="172" fontId="0" fillId="3" borderId="3" xfId="0" applyNumberFormat="1" applyFill="1" applyBorder="1"/>
    <xf numFmtId="172" fontId="0" fillId="3" borderId="2" xfId="0" applyNumberFormat="1" applyFill="1" applyBorder="1"/>
    <xf numFmtId="10" fontId="12" fillId="3" borderId="1" xfId="0" applyNumberFormat="1" applyFont="1" applyFill="1" applyBorder="1"/>
    <xf numFmtId="3" fontId="0" fillId="0" borderId="5" xfId="0" applyNumberFormat="1" applyBorder="1"/>
    <xf numFmtId="3" fontId="0" fillId="0" borderId="3" xfId="0" applyNumberFormat="1" applyBorder="1"/>
    <xf numFmtId="0" fontId="12" fillId="0" borderId="0" xfId="0" applyFont="1"/>
    <xf numFmtId="0" fontId="14" fillId="0" borderId="0" xfId="0" applyFont="1"/>
    <xf numFmtId="9" fontId="12" fillId="3" borderId="0" xfId="1" applyFont="1" applyFill="1"/>
    <xf numFmtId="9" fontId="12" fillId="0" borderId="0" xfId="1" applyFont="1" applyFill="1"/>
    <xf numFmtId="0" fontId="14" fillId="0" borderId="0" xfId="0" quotePrefix="1" applyFont="1"/>
    <xf numFmtId="172" fontId="12" fillId="3" borderId="0" xfId="3" applyNumberFormat="1" applyFont="1" applyFill="1"/>
    <xf numFmtId="172" fontId="0" fillId="0" borderId="0" xfId="1" applyNumberFormat="1" applyFont="1"/>
    <xf numFmtId="172" fontId="15" fillId="0" borderId="6" xfId="3" applyNumberFormat="1" applyFont="1" applyFill="1" applyBorder="1"/>
    <xf numFmtId="172" fontId="15" fillId="0" borderId="3" xfId="3" applyNumberFormat="1" applyFont="1" applyFill="1" applyBorder="1"/>
    <xf numFmtId="37" fontId="0" fillId="0" borderId="8" xfId="0" applyNumberFormat="1" applyBorder="1"/>
    <xf numFmtId="37" fontId="0" fillId="0" borderId="7" xfId="0" applyNumberFormat="1" applyBorder="1"/>
    <xf numFmtId="37" fontId="0" fillId="0" borderId="0" xfId="1" applyNumberFormat="1" applyFont="1" applyBorder="1"/>
    <xf numFmtId="37" fontId="0" fillId="0" borderId="1" xfId="1" applyNumberFormat="1" applyFont="1" applyBorder="1"/>
    <xf numFmtId="37" fontId="0" fillId="3" borderId="0" xfId="1" applyNumberFormat="1" applyFont="1" applyFill="1" applyBorder="1"/>
    <xf numFmtId="37" fontId="0" fillId="3" borderId="5" xfId="0" applyNumberFormat="1" applyFill="1" applyBorder="1"/>
    <xf numFmtId="0" fontId="0" fillId="5" borderId="0" xfId="0" applyFill="1" applyAlignment="1">
      <alignment horizontal="centerContinuous"/>
    </xf>
    <xf numFmtId="0" fontId="0" fillId="5" borderId="1" xfId="0" applyFill="1" applyBorder="1" applyAlignment="1">
      <alignment horizontal="centerContinuous"/>
    </xf>
    <xf numFmtId="0" fontId="17" fillId="5" borderId="0" xfId="0" applyFont="1" applyFill="1" applyAlignment="1">
      <alignment horizontal="centerContinuous"/>
    </xf>
    <xf numFmtId="0" fontId="17" fillId="6" borderId="0" xfId="0" applyFont="1" applyFill="1" applyAlignment="1">
      <alignment horizontal="centerContinuous"/>
    </xf>
    <xf numFmtId="0" fontId="0" fillId="6" borderId="0" xfId="0" applyFill="1" applyAlignment="1">
      <alignment horizontal="centerContinuous"/>
    </xf>
    <xf numFmtId="0" fontId="0" fillId="6" borderId="1" xfId="0" applyFill="1" applyBorder="1" applyAlignment="1">
      <alignment horizontal="centerContinuous"/>
    </xf>
    <xf numFmtId="0" fontId="17" fillId="5" borderId="1" xfId="0" applyFont="1" applyFill="1" applyBorder="1" applyAlignment="1">
      <alignment horizontal="centerContinuous"/>
    </xf>
    <xf numFmtId="0" fontId="18" fillId="0" borderId="0" xfId="0" applyFont="1"/>
    <xf numFmtId="2" fontId="0" fillId="0" borderId="0" xfId="0" applyNumberFormat="1" applyAlignment="1">
      <alignment horizontal="centerContinuous"/>
    </xf>
    <xf numFmtId="37" fontId="0" fillId="4" borderId="8" xfId="0" applyNumberFormat="1" applyFill="1" applyBorder="1"/>
    <xf numFmtId="0" fontId="19" fillId="0" borderId="0" xfId="0" applyFont="1"/>
    <xf numFmtId="37" fontId="12" fillId="3" borderId="5" xfId="0" applyNumberFormat="1" applyFont="1" applyFill="1" applyBorder="1"/>
    <xf numFmtId="3" fontId="0" fillId="0" borderId="1" xfId="0" applyNumberFormat="1" applyBorder="1"/>
    <xf numFmtId="9" fontId="12" fillId="0" borderId="0" xfId="0" applyNumberFormat="1" applyFont="1"/>
    <xf numFmtId="0" fontId="20" fillId="0" borderId="0" xfId="0" applyFont="1"/>
    <xf numFmtId="173" fontId="0" fillId="0" borderId="0" xfId="0" applyNumberFormat="1"/>
    <xf numFmtId="173" fontId="12" fillId="3" borderId="0" xfId="0" applyNumberFormat="1" applyFont="1" applyFill="1"/>
    <xf numFmtId="0" fontId="7" fillId="0" borderId="0" xfId="0" applyFont="1" applyAlignment="1">
      <alignment vertical="top" wrapText="1"/>
    </xf>
    <xf numFmtId="174" fontId="3" fillId="0" borderId="0" xfId="0" applyNumberFormat="1" applyFont="1" applyAlignment="1">
      <alignment horizontal="right" vertical="top" wrapText="1"/>
    </xf>
    <xf numFmtId="175" fontId="3" fillId="0" borderId="0" xfId="0" applyNumberFormat="1" applyFont="1" applyAlignment="1">
      <alignment horizontal="right" vertical="top" wrapText="1"/>
    </xf>
    <xf numFmtId="0" fontId="5" fillId="0" borderId="0" xfId="0" applyFont="1"/>
    <xf numFmtId="0" fontId="0" fillId="0" borderId="0" xfId="0" applyAlignment="1">
      <alignment wrapText="1"/>
    </xf>
    <xf numFmtId="37" fontId="0" fillId="3" borderId="0" xfId="3" applyNumberFormat="1" applyFont="1" applyFill="1"/>
    <xf numFmtId="37" fontId="0" fillId="3" borderId="1" xfId="3" applyNumberFormat="1" applyFont="1" applyFill="1" applyBorder="1"/>
    <xf numFmtId="0" fontId="0" fillId="7" borderId="0" xfId="0" applyFill="1" applyAlignment="1">
      <alignment horizontal="centerContinuous"/>
    </xf>
    <xf numFmtId="0" fontId="0" fillId="7" borderId="1" xfId="0" applyFill="1" applyBorder="1" applyAlignment="1">
      <alignment horizontal="centerContinuous"/>
    </xf>
    <xf numFmtId="170" fontId="0" fillId="0" borderId="0" xfId="0" applyNumberFormat="1"/>
    <xf numFmtId="170" fontId="15" fillId="0" borderId="0" xfId="1" applyNumberFormat="1" applyFont="1"/>
    <xf numFmtId="170" fontId="15" fillId="0" borderId="1" xfId="1" applyNumberFormat="1" applyFont="1" applyBorder="1"/>
    <xf numFmtId="10" fontId="15" fillId="0" borderId="0" xfId="1" applyNumberFormat="1" applyFont="1"/>
    <xf numFmtId="10" fontId="15" fillId="0" borderId="1" xfId="1" applyNumberFormat="1" applyFont="1" applyBorder="1"/>
    <xf numFmtId="37" fontId="16" fillId="0" borderId="0" xfId="0" applyNumberFormat="1" applyFont="1"/>
    <xf numFmtId="43" fontId="13" fillId="0" borderId="3" xfId="3" applyFont="1" applyBorder="1"/>
    <xf numFmtId="43" fontId="13" fillId="0" borderId="2" xfId="3" applyFont="1" applyBorder="1"/>
    <xf numFmtId="0" fontId="12" fillId="3" borderId="3" xfId="0" applyFont="1" applyFill="1" applyBorder="1"/>
    <xf numFmtId="37" fontId="12" fillId="0" borderId="3" xfId="0" applyNumberFormat="1" applyFont="1" applyBorder="1"/>
    <xf numFmtId="5" fontId="0" fillId="0" borderId="0" xfId="0" applyNumberFormat="1"/>
    <xf numFmtId="167" fontId="0" fillId="0" borderId="0" xfId="0" applyNumberFormat="1" applyAlignment="1">
      <alignment horizontal="centerContinuous"/>
    </xf>
    <xf numFmtId="167" fontId="0" fillId="0" borderId="1" xfId="0" applyNumberFormat="1" applyBorder="1" applyAlignment="1">
      <alignment horizontal="centerContinuous"/>
    </xf>
    <xf numFmtId="0" fontId="14" fillId="7" borderId="0" xfId="0" applyFont="1" applyFill="1" applyAlignment="1">
      <alignment horizontal="centerContinuous"/>
    </xf>
    <xf numFmtId="37" fontId="0" fillId="0" borderId="0" xfId="0" quotePrefix="1" applyNumberFormat="1"/>
    <xf numFmtId="37" fontId="0" fillId="0" borderId="1" xfId="0" quotePrefix="1" applyNumberFormat="1" applyBorder="1"/>
    <xf numFmtId="176" fontId="0" fillId="0" borderId="0" xfId="0" applyNumberFormat="1"/>
    <xf numFmtId="37" fontId="12" fillId="0" borderId="2" xfId="0" applyNumberFormat="1" applyFont="1" applyBorder="1"/>
    <xf numFmtId="0" fontId="0" fillId="3" borderId="8" xfId="0" applyFill="1" applyBorder="1"/>
    <xf numFmtId="172" fontId="12" fillId="3" borderId="0" xfId="0" applyNumberFormat="1" applyFont="1" applyFill="1"/>
    <xf numFmtId="0" fontId="0" fillId="0" borderId="0" xfId="0" applyAlignment="1">
      <alignment horizontal="center"/>
    </xf>
    <xf numFmtId="10" fontId="12" fillId="0" borderId="0" xfId="0" applyNumberFormat="1" applyFont="1"/>
    <xf numFmtId="37" fontId="16" fillId="0" borderId="3" xfId="0" applyNumberFormat="1" applyFont="1" applyBorder="1"/>
    <xf numFmtId="37" fontId="16" fillId="0" borderId="2" xfId="0" applyNumberFormat="1" applyFont="1" applyBorder="1"/>
    <xf numFmtId="164" fontId="3" fillId="0" borderId="0" xfId="0" applyNumberFormat="1" applyFont="1" applyAlignment="1">
      <alignment horizontal="left" vertical="top"/>
    </xf>
    <xf numFmtId="175" fontId="21" fillId="0" borderId="0" xfId="0" applyNumberFormat="1" applyFont="1" applyAlignment="1">
      <alignment horizontal="center" vertical="top" wrapText="1"/>
    </xf>
    <xf numFmtId="37" fontId="13" fillId="3" borderId="0" xfId="0" applyNumberFormat="1" applyFont="1" applyFill="1"/>
    <xf numFmtId="9" fontId="0" fillId="0" borderId="0" xfId="1" applyFont="1" applyFill="1" applyBorder="1"/>
    <xf numFmtId="37" fontId="0" fillId="0" borderId="0" xfId="1" applyNumberFormat="1" applyFont="1"/>
    <xf numFmtId="37" fontId="12" fillId="3" borderId="0" xfId="1" applyNumberFormat="1" applyFont="1" applyFill="1" applyBorder="1"/>
    <xf numFmtId="170" fontId="0" fillId="3" borderId="0" xfId="1" applyNumberFormat="1" applyFont="1" applyFill="1"/>
    <xf numFmtId="14" fontId="0" fillId="0" borderId="0" xfId="3" applyNumberFormat="1" applyFont="1"/>
    <xf numFmtId="14" fontId="12" fillId="0" borderId="0" xfId="0" applyNumberFormat="1" applyFont="1"/>
    <xf numFmtId="10" fontId="12" fillId="0" borderId="0" xfId="1" applyNumberFormat="1" applyFont="1" applyFill="1"/>
    <xf numFmtId="10" fontId="0" fillId="0" borderId="0" xfId="1" applyNumberFormat="1" applyFont="1" applyFill="1" applyBorder="1"/>
    <xf numFmtId="10" fontId="15" fillId="0" borderId="0" xfId="1" applyNumberFormat="1" applyFont="1" applyFill="1"/>
    <xf numFmtId="10" fontId="12" fillId="3" borderId="0" xfId="1" applyNumberFormat="1" applyFont="1" applyFill="1" applyBorder="1"/>
    <xf numFmtId="37" fontId="0" fillId="3" borderId="0" xfId="1" applyNumberFormat="1" applyFont="1" applyFill="1"/>
    <xf numFmtId="37" fontId="0" fillId="3" borderId="1" xfId="1" applyNumberFormat="1" applyFont="1" applyFill="1" applyBorder="1"/>
    <xf numFmtId="2" fontId="0" fillId="7" borderId="0" xfId="0" applyNumberFormat="1" applyFill="1" applyAlignment="1">
      <alignment horizontal="centerContinuous"/>
    </xf>
    <xf numFmtId="37" fontId="0" fillId="0" borderId="3" xfId="0" quotePrefix="1" applyNumberFormat="1" applyBorder="1"/>
    <xf numFmtId="37" fontId="0" fillId="0" borderId="2" xfId="0" quotePrefix="1" applyNumberFormat="1" applyBorder="1"/>
    <xf numFmtId="37" fontId="0" fillId="0" borderId="9" xfId="0" applyNumberFormat="1" applyBorder="1"/>
    <xf numFmtId="9" fontId="0" fillId="0" borderId="3" xfId="0" applyNumberFormat="1" applyBorder="1"/>
    <xf numFmtId="170" fontId="0" fillId="0" borderId="0" xfId="1" applyNumberFormat="1" applyFont="1" applyFill="1"/>
    <xf numFmtId="170" fontId="0" fillId="0" borderId="1" xfId="1" applyNumberFormat="1" applyFont="1" applyFill="1" applyBorder="1"/>
    <xf numFmtId="39" fontId="0" fillId="0" borderId="0" xfId="0" applyNumberFormat="1"/>
    <xf numFmtId="39" fontId="0" fillId="0" borderId="1" xfId="0" applyNumberFormat="1" applyBorder="1"/>
    <xf numFmtId="37" fontId="14" fillId="0" borderId="0" xfId="0" applyNumberFormat="1" applyFont="1"/>
    <xf numFmtId="2" fontId="2" fillId="0" borderId="0" xfId="0" applyNumberFormat="1" applyFont="1"/>
    <xf numFmtId="0" fontId="3" fillId="0" borderId="0" xfId="0" applyFont="1" applyAlignment="1">
      <alignment horizontal="left" vertical="top" wrapText="1"/>
    </xf>
    <xf numFmtId="0" fontId="3" fillId="0" borderId="0" xfId="0" applyFont="1" applyAlignment="1">
      <alignment horizontal="right" vertical="top" wrapText="1"/>
    </xf>
    <xf numFmtId="0" fontId="0" fillId="3" borderId="0" xfId="0" applyFill="1" applyAlignment="1">
      <alignment horizontal="center" vertical="center" textRotation="90"/>
    </xf>
    <xf numFmtId="0" fontId="0" fillId="8" borderId="0" xfId="0" applyFill="1"/>
    <xf numFmtId="9" fontId="0" fillId="3" borderId="0" xfId="0" applyNumberFormat="1" applyFill="1"/>
    <xf numFmtId="0" fontId="8" fillId="3" borderId="0" xfId="0" applyFont="1" applyFill="1"/>
    <xf numFmtId="37" fontId="0" fillId="0" borderId="0" xfId="3" applyNumberFormat="1" applyFont="1" applyFill="1"/>
    <xf numFmtId="37" fontId="0" fillId="0" borderId="1" xfId="3" applyNumberFormat="1" applyFont="1" applyFill="1" applyBorder="1"/>
    <xf numFmtId="0" fontId="0" fillId="3" borderId="0" xfId="0" applyFill="1" applyAlignment="1">
      <alignment horizontal="centerContinuous"/>
    </xf>
    <xf numFmtId="37" fontId="12" fillId="9" borderId="0" xfId="0" applyNumberFormat="1" applyFont="1" applyFill="1"/>
    <xf numFmtId="37" fontId="0" fillId="9" borderId="0" xfId="0" applyNumberFormat="1" applyFill="1"/>
    <xf numFmtId="37" fontId="12" fillId="9" borderId="3" xfId="0" applyNumberFormat="1" applyFont="1" applyFill="1" applyBorder="1"/>
    <xf numFmtId="37" fontId="0" fillId="9" borderId="3" xfId="0" applyNumberFormat="1" applyFill="1" applyBorder="1"/>
    <xf numFmtId="37" fontId="12" fillId="9" borderId="5" xfId="0" applyNumberFormat="1" applyFont="1" applyFill="1" applyBorder="1"/>
    <xf numFmtId="0" fontId="18" fillId="0" borderId="0" xfId="0" applyFont="1" applyAlignment="1">
      <alignment wrapText="1"/>
    </xf>
    <xf numFmtId="9" fontId="0" fillId="0" borderId="0" xfId="1" applyFont="1" applyFill="1" applyAlignment="1">
      <alignment wrapText="1"/>
    </xf>
    <xf numFmtId="9" fontId="0" fillId="0" borderId="1" xfId="1" applyFont="1" applyFill="1" applyBorder="1" applyAlignment="1">
      <alignment wrapText="1"/>
    </xf>
    <xf numFmtId="9" fontId="12" fillId="0" borderId="0" xfId="0" applyNumberFormat="1" applyFont="1" applyAlignment="1">
      <alignment wrapText="1"/>
    </xf>
    <xf numFmtId="9" fontId="0" fillId="0" borderId="0" xfId="0" applyNumberFormat="1" applyAlignment="1">
      <alignment wrapText="1"/>
    </xf>
    <xf numFmtId="0" fontId="8" fillId="3" borderId="0" xfId="0" applyFont="1" applyFill="1" applyAlignment="1">
      <alignment wrapText="1"/>
    </xf>
    <xf numFmtId="0" fontId="0" fillId="3" borderId="0" xfId="0" applyFill="1" applyAlignment="1">
      <alignment wrapText="1"/>
    </xf>
    <xf numFmtId="9" fontId="0" fillId="3" borderId="0" xfId="1" applyFont="1" applyFill="1" applyAlignment="1">
      <alignment wrapText="1"/>
    </xf>
    <xf numFmtId="9" fontId="0" fillId="3" borderId="1" xfId="1" applyFont="1" applyFill="1" applyBorder="1" applyAlignment="1">
      <alignment wrapText="1"/>
    </xf>
    <xf numFmtId="9" fontId="12" fillId="3" borderId="0" xfId="0" applyNumberFormat="1" applyFont="1" applyFill="1" applyAlignment="1">
      <alignment wrapText="1"/>
    </xf>
    <xf numFmtId="9" fontId="0" fillId="3" borderId="0" xfId="0" applyNumberFormat="1" applyFill="1" applyAlignment="1">
      <alignment wrapText="1"/>
    </xf>
    <xf numFmtId="43" fontId="0" fillId="0" borderId="0" xfId="3" applyFont="1" applyAlignment="1">
      <alignment wrapText="1"/>
    </xf>
    <xf numFmtId="8" fontId="0" fillId="0" borderId="0" xfId="0" applyNumberFormat="1"/>
    <xf numFmtId="0" fontId="23" fillId="0" borderId="0" xfId="0" applyFont="1"/>
    <xf numFmtId="2" fontId="0" fillId="0" borderId="0" xfId="0" applyNumberFormat="1"/>
    <xf numFmtId="2" fontId="0" fillId="0" borderId="1" xfId="0" applyNumberFormat="1" applyBorder="1"/>
    <xf numFmtId="9" fontId="0" fillId="9" borderId="0" xfId="1" applyFont="1" applyFill="1"/>
    <xf numFmtId="9" fontId="0" fillId="9" borderId="1" xfId="1" applyFont="1" applyFill="1" applyBorder="1"/>
    <xf numFmtId="9" fontId="12" fillId="9" borderId="0" xfId="1" applyFont="1" applyFill="1"/>
    <xf numFmtId="10" fontId="0" fillId="9" borderId="0" xfId="0" applyNumberFormat="1" applyFill="1"/>
    <xf numFmtId="0" fontId="14" fillId="3" borderId="0" xfId="0" applyFont="1" applyFill="1"/>
    <xf numFmtId="9" fontId="0" fillId="10" borderId="0" xfId="0" applyNumberFormat="1" applyFill="1"/>
    <xf numFmtId="37" fontId="0" fillId="10" borderId="0" xfId="0" applyNumberFormat="1" applyFill="1"/>
    <xf numFmtId="37" fontId="0" fillId="0" borderId="0" xfId="1" applyNumberFormat="1" applyFont="1" applyFill="1"/>
    <xf numFmtId="37" fontId="0" fillId="0" borderId="1" xfId="1" applyNumberFormat="1" applyFont="1" applyFill="1" applyBorder="1"/>
    <xf numFmtId="37" fontId="0" fillId="0" borderId="0" xfId="1" applyNumberFormat="1" applyFont="1" applyFill="1" applyBorder="1"/>
    <xf numFmtId="10" fontId="0" fillId="0" borderId="0" xfId="1" applyNumberFormat="1" applyFont="1" applyFill="1"/>
    <xf numFmtId="10" fontId="0" fillId="0" borderId="1" xfId="1" applyNumberFormat="1" applyFont="1" applyFill="1" applyBorder="1"/>
    <xf numFmtId="37" fontId="8" fillId="0" borderId="0" xfId="0" applyNumberFormat="1" applyFont="1"/>
    <xf numFmtId="6" fontId="0" fillId="0" borderId="0" xfId="0" applyNumberFormat="1"/>
    <xf numFmtId="10" fontId="12" fillId="3" borderId="0" xfId="1" applyNumberFormat="1" applyFont="1" applyFill="1"/>
    <xf numFmtId="9" fontId="3" fillId="0" borderId="0" xfId="1" applyFont="1" applyAlignment="1">
      <alignment horizontal="left" vertical="top"/>
    </xf>
    <xf numFmtId="10" fontId="0" fillId="0" borderId="1" xfId="0" applyNumberFormat="1" applyBorder="1"/>
    <xf numFmtId="168" fontId="16" fillId="0" borderId="0" xfId="0" applyNumberFormat="1" applyFont="1"/>
    <xf numFmtId="177" fontId="0" fillId="3" borderId="0" xfId="0" applyNumberFormat="1" applyFill="1" applyAlignment="1">
      <alignment horizontal="left" indent="1"/>
    </xf>
    <xf numFmtId="0" fontId="0" fillId="3" borderId="0" xfId="0" applyFill="1" applyAlignment="1">
      <alignment horizontal="left" indent="1"/>
    </xf>
    <xf numFmtId="0" fontId="0" fillId="0" borderId="0" xfId="0" applyAlignment="1">
      <alignment vertical="center"/>
    </xf>
    <xf numFmtId="0" fontId="17" fillId="6" borderId="0" xfId="0" applyFont="1" applyFill="1" applyAlignment="1">
      <alignment horizontal="centerContinuous" wrapText="1"/>
    </xf>
    <xf numFmtId="10" fontId="0" fillId="0" borderId="0" xfId="0" applyNumberFormat="1" applyAlignment="1">
      <alignment horizontal="right" vertical="center" wrapText="1"/>
    </xf>
    <xf numFmtId="0" fontId="0" fillId="0" borderId="0" xfId="0" applyAlignment="1">
      <alignment horizontal="right" vertical="center" wrapText="1"/>
    </xf>
    <xf numFmtId="0" fontId="7" fillId="0" borderId="0" xfId="0" applyFont="1" applyAlignment="1">
      <alignment horizontal="left" vertical="top" wrapText="1"/>
    </xf>
    <xf numFmtId="0" fontId="22" fillId="0" borderId="0" xfId="0" applyFont="1" applyAlignment="1">
      <alignment horizontal="left" vertical="top" wrapText="1"/>
    </xf>
    <xf numFmtId="0" fontId="22" fillId="0" borderId="0" xfId="0" applyFont="1" applyAlignment="1">
      <alignment horizontal="right" vertical="top" wrapText="1"/>
    </xf>
    <xf numFmtId="0" fontId="7" fillId="0" borderId="0" xfId="0" applyFont="1" applyAlignment="1">
      <alignment horizontal="right" vertical="top" wrapText="1"/>
    </xf>
    <xf numFmtId="0" fontId="2" fillId="0" borderId="0" xfId="0" applyFont="1" applyAlignment="1">
      <alignment horizontal="right"/>
    </xf>
    <xf numFmtId="9" fontId="0" fillId="3" borderId="0" xfId="1" applyFont="1" applyFill="1" applyBorder="1"/>
    <xf numFmtId="2" fontId="0" fillId="3" borderId="0" xfId="0" applyNumberFormat="1" applyFill="1" applyAlignment="1">
      <alignment horizontal="centerContinuous"/>
    </xf>
    <xf numFmtId="0" fontId="18" fillId="3" borderId="0" xfId="0" applyFont="1" applyFill="1"/>
    <xf numFmtId="10" fontId="15" fillId="3" borderId="0" xfId="1" applyNumberFormat="1" applyFont="1" applyFill="1"/>
    <xf numFmtId="0" fontId="8" fillId="3" borderId="1" xfId="0" applyFont="1" applyFill="1" applyBorder="1"/>
    <xf numFmtId="2" fontId="0" fillId="0" borderId="0" xfId="0" applyNumberFormat="1" applyAlignment="1">
      <alignment horizontal="center"/>
    </xf>
    <xf numFmtId="9" fontId="0" fillId="0" borderId="0" xfId="1" applyFont="1" applyBorder="1" applyAlignment="1">
      <alignment horizontal="center"/>
    </xf>
    <xf numFmtId="9" fontId="0" fillId="3" borderId="0" xfId="1" applyFont="1" applyFill="1" applyBorder="1" applyAlignment="1">
      <alignment horizontal="center"/>
    </xf>
    <xf numFmtId="10" fontId="0" fillId="0" borderId="0" xfId="1" applyNumberFormat="1" applyFont="1" applyAlignment="1">
      <alignment horizontal="center"/>
    </xf>
    <xf numFmtId="10" fontId="0" fillId="3" borderId="0" xfId="1" applyNumberFormat="1" applyFont="1" applyFill="1" applyAlignment="1">
      <alignment horizontal="center"/>
    </xf>
    <xf numFmtId="0" fontId="0" fillId="3" borderId="0" xfId="0" applyFill="1" applyAlignment="1">
      <alignment horizontal="center" vertical="center" wrapText="1"/>
    </xf>
    <xf numFmtId="10" fontId="0" fillId="0" borderId="0" xfId="0" applyNumberFormat="1" applyAlignment="1">
      <alignment horizontal="center"/>
    </xf>
    <xf numFmtId="0" fontId="24" fillId="12" borderId="0" xfId="0" applyFont="1" applyFill="1" applyAlignment="1">
      <alignment vertical="center" wrapText="1"/>
    </xf>
    <xf numFmtId="0" fontId="24" fillId="12" borderId="0" xfId="0" applyFont="1" applyFill="1" applyAlignment="1">
      <alignment horizontal="right" vertical="center" wrapText="1"/>
    </xf>
    <xf numFmtId="0" fontId="25" fillId="11" borderId="0" xfId="0" applyFont="1" applyFill="1" applyAlignment="1">
      <alignment vertical="center" wrapText="1"/>
    </xf>
    <xf numFmtId="8" fontId="25" fillId="11" borderId="0" xfId="0" applyNumberFormat="1" applyFont="1" applyFill="1" applyAlignment="1">
      <alignment horizontal="right" vertical="center" wrapText="1"/>
    </xf>
    <xf numFmtId="0" fontId="27" fillId="11" borderId="0" xfId="0" applyFont="1" applyFill="1" applyAlignment="1">
      <alignment horizontal="right" vertical="center" wrapText="1"/>
    </xf>
    <xf numFmtId="0" fontId="29" fillId="11" borderId="0" xfId="0" applyFont="1" applyFill="1" applyAlignment="1">
      <alignment horizontal="right" vertical="center" wrapText="1"/>
    </xf>
    <xf numFmtId="0" fontId="28" fillId="11" borderId="0" xfId="0" applyFont="1" applyFill="1" applyAlignment="1">
      <alignment horizontal="right" vertical="center" wrapText="1"/>
    </xf>
    <xf numFmtId="8" fontId="29" fillId="11" borderId="0" xfId="0" applyNumberFormat="1" applyFont="1" applyFill="1" applyAlignment="1">
      <alignment horizontal="right" vertical="center" wrapText="1"/>
    </xf>
    <xf numFmtId="0" fontId="26" fillId="11" borderId="0" xfId="0" applyFont="1" applyFill="1" applyAlignment="1">
      <alignment vertical="center" wrapText="1"/>
    </xf>
    <xf numFmtId="0" fontId="31" fillId="11" borderId="0" xfId="0" applyFont="1" applyFill="1" applyAlignment="1">
      <alignment horizontal="center" vertical="center" wrapText="1"/>
    </xf>
    <xf numFmtId="0" fontId="32" fillId="12" borderId="0" xfId="0" applyFont="1" applyFill="1" applyAlignment="1">
      <alignment vertical="center" wrapText="1"/>
    </xf>
    <xf numFmtId="0" fontId="26" fillId="13" borderId="0" xfId="0" applyFont="1" applyFill="1" applyAlignment="1">
      <alignment vertical="center" wrapText="1"/>
    </xf>
    <xf numFmtId="0" fontId="33" fillId="6" borderId="0" xfId="0" applyFont="1" applyFill="1" applyAlignment="1">
      <alignment horizontal="left" vertical="top" wrapText="1"/>
    </xf>
    <xf numFmtId="175" fontId="22" fillId="6" borderId="0" xfId="0" applyNumberFormat="1" applyFont="1" applyFill="1" applyAlignment="1">
      <alignment horizontal="right" vertical="top" wrapText="1"/>
    </xf>
    <xf numFmtId="0" fontId="22" fillId="6" borderId="0" xfId="0" applyFont="1" applyFill="1"/>
    <xf numFmtId="0" fontId="30" fillId="12" borderId="0" xfId="0" applyFont="1" applyFill="1" applyAlignment="1">
      <alignment vertical="center"/>
    </xf>
    <xf numFmtId="0" fontId="28" fillId="12" borderId="0" xfId="0" applyFont="1" applyFill="1" applyAlignment="1">
      <alignment horizontal="right" vertical="center"/>
    </xf>
    <xf numFmtId="0" fontId="25" fillId="11" borderId="0" xfId="0" applyFont="1" applyFill="1" applyAlignment="1">
      <alignment vertical="center"/>
    </xf>
    <xf numFmtId="178" fontId="29" fillId="11" borderId="0" xfId="0" applyNumberFormat="1" applyFont="1" applyFill="1" applyAlignment="1">
      <alignment horizontal="center" vertical="center" wrapText="1"/>
    </xf>
    <xf numFmtId="179" fontId="29" fillId="11" borderId="0" xfId="0" applyNumberFormat="1" applyFont="1" applyFill="1" applyAlignment="1">
      <alignment horizontal="center" vertical="center" wrapText="1"/>
    </xf>
    <xf numFmtId="9" fontId="0" fillId="0" borderId="0" xfId="0" applyNumberFormat="1" applyAlignment="1">
      <alignment vertical="center" textRotation="90" wrapText="1"/>
    </xf>
    <xf numFmtId="0" fontId="0" fillId="0" borderId="0" xfId="0" applyAlignment="1">
      <alignment vertical="center" textRotation="90" wrapText="1"/>
    </xf>
    <xf numFmtId="0" fontId="33" fillId="6" borderId="0" xfId="0" applyFont="1" applyFill="1" applyAlignment="1">
      <alignment wrapText="1"/>
    </xf>
    <xf numFmtId="0" fontId="33" fillId="6" borderId="0" xfId="0" applyFont="1" applyFill="1" applyAlignment="1">
      <alignment horizontal="right" wrapText="1"/>
    </xf>
    <xf numFmtId="0" fontId="34" fillId="6" borderId="0" xfId="0" applyFont="1" applyFill="1" applyAlignment="1">
      <alignment wrapText="1"/>
    </xf>
    <xf numFmtId="0" fontId="34" fillId="6" borderId="0" xfId="0" applyFont="1" applyFill="1" applyAlignment="1">
      <alignment horizontal="right" wrapText="1"/>
    </xf>
    <xf numFmtId="0" fontId="0" fillId="0" borderId="0" xfId="0" applyAlignment="1">
      <alignment horizontal="right"/>
    </xf>
  </cellXfs>
  <cellStyles count="4">
    <cellStyle name="Comma" xfId="3" builtinId="3"/>
    <cellStyle name="Invisible" xfId="2" xr:uid="{B8BD19F2-B175-4568-93A6-E696D0D29335}"/>
    <cellStyle name="Normal" xfId="0" builtinId="0"/>
    <cellStyle name="Percent" xfId="1" builtinId="5"/>
  </cellStyles>
  <dxfs count="8">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0000F4"/>
      <color rgb="FF006600"/>
      <color rgb="FF006C00"/>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0/relationships/richValueRel" Target="richData/richValueRel.xml"/><Relationship Id="rId18" Type="http://schemas.openxmlformats.org/officeDocument/2006/relationships/calcChain" Target="calcChai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dRichValueStructure" Target="richData/rdrichvaluestructure.xml"/><Relationship Id="rId10" Type="http://schemas.openxmlformats.org/officeDocument/2006/relationships/styles" Target="style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Net Merchandise Sales Per Region</a:t>
            </a:r>
            <a:endParaRPr lang="en-US" i="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Model!$B$172</c:f>
              <c:strCache>
                <c:ptCount val="1"/>
                <c:pt idx="0">
                  <c:v>Central America</c:v>
                </c:pt>
              </c:strCache>
            </c:strRef>
          </c:tx>
          <c:spPr>
            <a:solidFill>
              <a:schemeClr val="accent1">
                <a:shade val="65000"/>
              </a:schemeClr>
            </a:solidFill>
            <a:ln>
              <a:noFill/>
            </a:ln>
            <a:effectLst/>
          </c:spPr>
          <c:invertIfNegative val="0"/>
          <c:cat>
            <c:numRef>
              <c:f>Model!$E$171:$L$171</c:f>
              <c:numCache>
                <c:formatCode>0\A</c:formatCode>
                <c:ptCount val="8"/>
                <c:pt idx="0">
                  <c:v>2023</c:v>
                </c:pt>
                <c:pt idx="1">
                  <c:v>2024</c:v>
                </c:pt>
                <c:pt idx="2">
                  <c:v>2025</c:v>
                </c:pt>
                <c:pt idx="3" formatCode="0\F">
                  <c:v>2026</c:v>
                </c:pt>
                <c:pt idx="4" formatCode="0\F">
                  <c:v>2027</c:v>
                </c:pt>
                <c:pt idx="5" formatCode="0\F">
                  <c:v>2028</c:v>
                </c:pt>
                <c:pt idx="6" formatCode="0\F">
                  <c:v>2029</c:v>
                </c:pt>
                <c:pt idx="7" formatCode="0\F">
                  <c:v>2030</c:v>
                </c:pt>
              </c:numCache>
            </c:numRef>
          </c:cat>
          <c:val>
            <c:numRef>
              <c:f>Model!$E$172:$L$172</c:f>
              <c:numCache>
                <c:formatCode>#,##0_);\(#,##0\)</c:formatCode>
                <c:ptCount val="8"/>
                <c:pt idx="0">
                  <c:v>2534980</c:v>
                </c:pt>
                <c:pt idx="1">
                  <c:v>2830078</c:v>
                </c:pt>
                <c:pt idx="2">
                  <c:v>3127113</c:v>
                </c:pt>
                <c:pt idx="3">
                  <c:v>3091972.0676624998</c:v>
                </c:pt>
                <c:pt idx="4">
                  <c:v>3344951.6004712498</c:v>
                </c:pt>
                <c:pt idx="5">
                  <c:v>3509332.0791229801</c:v>
                </c:pt>
                <c:pt idx="6">
                  <c:v>3579518.7207054398</c:v>
                </c:pt>
                <c:pt idx="7">
                  <c:v>3752528.7922062026</c:v>
                </c:pt>
              </c:numCache>
            </c:numRef>
          </c:val>
          <c:extLst>
            <c:ext xmlns:c16="http://schemas.microsoft.com/office/drawing/2014/chart" uri="{C3380CC4-5D6E-409C-BE32-E72D297353CC}">
              <c16:uniqueId val="{00000000-E07E-4DE5-AFD8-BBBB48B27A1C}"/>
            </c:ext>
          </c:extLst>
        </c:ser>
        <c:ser>
          <c:idx val="1"/>
          <c:order val="1"/>
          <c:tx>
            <c:strRef>
              <c:f>Model!$B$173</c:f>
              <c:strCache>
                <c:ptCount val="1"/>
                <c:pt idx="0">
                  <c:v>Caribbean</c:v>
                </c:pt>
              </c:strCache>
            </c:strRef>
          </c:tx>
          <c:spPr>
            <a:solidFill>
              <a:schemeClr val="accent1"/>
            </a:solidFill>
            <a:ln>
              <a:noFill/>
            </a:ln>
            <a:effectLst/>
          </c:spPr>
          <c:invertIfNegative val="0"/>
          <c:cat>
            <c:numRef>
              <c:f>Model!$E$171:$L$171</c:f>
              <c:numCache>
                <c:formatCode>0\A</c:formatCode>
                <c:ptCount val="8"/>
                <c:pt idx="0">
                  <c:v>2023</c:v>
                </c:pt>
                <c:pt idx="1">
                  <c:v>2024</c:v>
                </c:pt>
                <c:pt idx="2">
                  <c:v>2025</c:v>
                </c:pt>
                <c:pt idx="3" formatCode="0\F">
                  <c:v>2026</c:v>
                </c:pt>
                <c:pt idx="4" formatCode="0\F">
                  <c:v>2027</c:v>
                </c:pt>
                <c:pt idx="5" formatCode="0\F">
                  <c:v>2028</c:v>
                </c:pt>
                <c:pt idx="6" formatCode="0\F">
                  <c:v>2029</c:v>
                </c:pt>
                <c:pt idx="7" formatCode="0\F">
                  <c:v>2030</c:v>
                </c:pt>
              </c:numCache>
            </c:numRef>
          </c:cat>
          <c:val>
            <c:numRef>
              <c:f>Model!$E$173:$L$173</c:f>
              <c:numCache>
                <c:formatCode>#,##0_);\(#,##0\)</c:formatCode>
                <c:ptCount val="8"/>
                <c:pt idx="0">
                  <c:v>1245517</c:v>
                </c:pt>
                <c:pt idx="1">
                  <c:v>1360813</c:v>
                </c:pt>
                <c:pt idx="2">
                  <c:v>1418914</c:v>
                </c:pt>
                <c:pt idx="3">
                  <c:v>1554805.4207999997</c:v>
                </c:pt>
                <c:pt idx="4">
                  <c:v>1685020.3747919996</c:v>
                </c:pt>
                <c:pt idx="5">
                  <c:v>1718720.7822878396</c:v>
                </c:pt>
                <c:pt idx="6">
                  <c:v>1856218.4448708668</c:v>
                </c:pt>
                <c:pt idx="7">
                  <c:v>1893342.8137682842</c:v>
                </c:pt>
              </c:numCache>
            </c:numRef>
          </c:val>
          <c:extLst>
            <c:ext xmlns:c16="http://schemas.microsoft.com/office/drawing/2014/chart" uri="{C3380CC4-5D6E-409C-BE32-E72D297353CC}">
              <c16:uniqueId val="{00000001-E07E-4DE5-AFD8-BBBB48B27A1C}"/>
            </c:ext>
          </c:extLst>
        </c:ser>
        <c:ser>
          <c:idx val="2"/>
          <c:order val="2"/>
          <c:tx>
            <c:strRef>
              <c:f>Model!$B$174</c:f>
              <c:strCache>
                <c:ptCount val="1"/>
                <c:pt idx="0">
                  <c:v>South America (Colombia)</c:v>
                </c:pt>
              </c:strCache>
            </c:strRef>
          </c:tx>
          <c:spPr>
            <a:solidFill>
              <a:schemeClr val="accent1">
                <a:tint val="65000"/>
              </a:schemeClr>
            </a:solidFill>
            <a:ln>
              <a:noFill/>
            </a:ln>
            <a:effectLst/>
          </c:spPr>
          <c:invertIfNegative val="0"/>
          <c:cat>
            <c:numRef>
              <c:f>Model!$E$171:$L$171</c:f>
              <c:numCache>
                <c:formatCode>0\A</c:formatCode>
                <c:ptCount val="8"/>
                <c:pt idx="0">
                  <c:v>2023</c:v>
                </c:pt>
                <c:pt idx="1">
                  <c:v>2024</c:v>
                </c:pt>
                <c:pt idx="2">
                  <c:v>2025</c:v>
                </c:pt>
                <c:pt idx="3" formatCode="0\F">
                  <c:v>2026</c:v>
                </c:pt>
                <c:pt idx="4" formatCode="0\F">
                  <c:v>2027</c:v>
                </c:pt>
                <c:pt idx="5" formatCode="0\F">
                  <c:v>2028</c:v>
                </c:pt>
                <c:pt idx="6" formatCode="0\F">
                  <c:v>2029</c:v>
                </c:pt>
                <c:pt idx="7" formatCode="0\F">
                  <c:v>2030</c:v>
                </c:pt>
              </c:numCache>
            </c:numRef>
          </c:cat>
          <c:val>
            <c:numRef>
              <c:f>Model!$E$174:$L$174</c:f>
              <c:numCache>
                <c:formatCode>#,##0_);\(#,##0\)</c:formatCode>
                <c:ptCount val="8"/>
                <c:pt idx="0">
                  <c:v>492581</c:v>
                </c:pt>
                <c:pt idx="1">
                  <c:v>478107</c:v>
                </c:pt>
                <c:pt idx="2">
                  <c:v>605093</c:v>
                </c:pt>
                <c:pt idx="3">
                  <c:v>580163.16839999997</c:v>
                </c:pt>
                <c:pt idx="4">
                  <c:v>650943.0749448</c:v>
                </c:pt>
                <c:pt idx="5">
                  <c:v>663961.93644369591</c:v>
                </c:pt>
                <c:pt idx="6">
                  <c:v>738808.55473371269</c:v>
                </c:pt>
                <c:pt idx="7">
                  <c:v>753584.72582838684</c:v>
                </c:pt>
              </c:numCache>
            </c:numRef>
          </c:val>
          <c:extLst>
            <c:ext xmlns:c16="http://schemas.microsoft.com/office/drawing/2014/chart" uri="{C3380CC4-5D6E-409C-BE32-E72D297353CC}">
              <c16:uniqueId val="{00000002-E07E-4DE5-AFD8-BBBB48B27A1C}"/>
            </c:ext>
          </c:extLst>
        </c:ser>
        <c:dLbls>
          <c:showLegendKey val="0"/>
          <c:showVal val="0"/>
          <c:showCatName val="0"/>
          <c:showSerName val="0"/>
          <c:showPercent val="0"/>
          <c:showBubbleSize val="0"/>
        </c:dLbls>
        <c:gapWidth val="150"/>
        <c:overlap val="100"/>
        <c:axId val="562459056"/>
        <c:axId val="432402320"/>
      </c:barChart>
      <c:catAx>
        <c:axId val="562459056"/>
        <c:scaling>
          <c:orientation val="minMax"/>
        </c:scaling>
        <c:delete val="0"/>
        <c:axPos val="b"/>
        <c:numFmt formatCode="0\A"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32402320"/>
        <c:crosses val="autoZero"/>
        <c:auto val="1"/>
        <c:lblAlgn val="ctr"/>
        <c:lblOffset val="100"/>
        <c:noMultiLvlLbl val="0"/>
      </c:catAx>
      <c:valAx>
        <c:axId val="432402320"/>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6245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Model!$B$24</c:f>
              <c:strCache>
                <c:ptCount val="1"/>
                <c:pt idx="0">
                  <c:v>EBITDA/Revenue Margin</c:v>
                </c:pt>
              </c:strCache>
            </c:strRef>
          </c:tx>
          <c:spPr>
            <a:ln w="28575" cap="rnd">
              <a:solidFill>
                <a:schemeClr val="accent1"/>
              </a:solidFill>
              <a:round/>
            </a:ln>
            <a:effectLst/>
          </c:spPr>
          <c:marker>
            <c:symbol val="none"/>
          </c:marker>
          <c:cat>
            <c:numRef>
              <c:f>Model!$C$7:$L$7</c:f>
              <c:numCache>
                <c:formatCode>0\A</c:formatCode>
                <c:ptCount val="10"/>
                <c:pt idx="0">
                  <c:v>2021</c:v>
                </c:pt>
                <c:pt idx="1">
                  <c:v>2022</c:v>
                </c:pt>
                <c:pt idx="2">
                  <c:v>2023</c:v>
                </c:pt>
                <c:pt idx="3">
                  <c:v>2024</c:v>
                </c:pt>
                <c:pt idx="4">
                  <c:v>2025</c:v>
                </c:pt>
                <c:pt idx="5" formatCode="0\F">
                  <c:v>2026</c:v>
                </c:pt>
                <c:pt idx="6" formatCode="0\F">
                  <c:v>2027</c:v>
                </c:pt>
                <c:pt idx="7" formatCode="0\F">
                  <c:v>2028</c:v>
                </c:pt>
                <c:pt idx="8" formatCode="0\F">
                  <c:v>2029</c:v>
                </c:pt>
                <c:pt idx="9" formatCode="0\F">
                  <c:v>2030</c:v>
                </c:pt>
              </c:numCache>
            </c:numRef>
          </c:cat>
          <c:val>
            <c:numRef>
              <c:f>Model!$C$24:$L$24</c:f>
              <c:numCache>
                <c:formatCode>0.00%</c:formatCode>
                <c:ptCount val="10"/>
                <c:pt idx="0">
                  <c:v>6.1888945766299407E-2</c:v>
                </c:pt>
                <c:pt idx="1">
                  <c:v>5.8089915798777841E-2</c:v>
                </c:pt>
                <c:pt idx="2">
                  <c:v>6.1852623008711555E-2</c:v>
                </c:pt>
                <c:pt idx="3">
                  <c:v>6.2215984133166785E-2</c:v>
                </c:pt>
                <c:pt idx="4">
                  <c:v>6.1315414867362895E-2</c:v>
                </c:pt>
                <c:pt idx="5">
                  <c:v>5.7816300622429963E-2</c:v>
                </c:pt>
                <c:pt idx="6">
                  <c:v>5.7854598965832428E-2</c:v>
                </c:pt>
                <c:pt idx="7">
                  <c:v>5.0625664120521822E-2</c:v>
                </c:pt>
                <c:pt idx="8">
                  <c:v>5.1533366608425828E-2</c:v>
                </c:pt>
                <c:pt idx="9">
                  <c:v>4.9483203604303999E-2</c:v>
                </c:pt>
              </c:numCache>
            </c:numRef>
          </c:val>
          <c:smooth val="0"/>
          <c:extLst>
            <c:ext xmlns:c16="http://schemas.microsoft.com/office/drawing/2014/chart" uri="{C3380CC4-5D6E-409C-BE32-E72D297353CC}">
              <c16:uniqueId val="{00000000-A3D9-4C74-A6B4-38AB8CBFDA64}"/>
            </c:ext>
          </c:extLst>
        </c:ser>
        <c:ser>
          <c:idx val="1"/>
          <c:order val="1"/>
          <c:tx>
            <c:strRef>
              <c:f>Model!$B$23</c:f>
              <c:strCache>
                <c:ptCount val="1"/>
                <c:pt idx="0">
                  <c:v>Gross Margin</c:v>
                </c:pt>
              </c:strCache>
            </c:strRef>
          </c:tx>
          <c:spPr>
            <a:ln w="28575" cap="rnd">
              <a:solidFill>
                <a:schemeClr val="accent2"/>
              </a:solidFill>
              <a:round/>
            </a:ln>
            <a:effectLst/>
          </c:spPr>
          <c:marker>
            <c:symbol val="none"/>
          </c:marker>
          <c:val>
            <c:numRef>
              <c:f>Model!$C$23:$L$23</c:f>
              <c:numCache>
                <c:formatCode>0.00%</c:formatCode>
                <c:ptCount val="10"/>
                <c:pt idx="0">
                  <c:v>0.17805413507829423</c:v>
                </c:pt>
                <c:pt idx="1">
                  <c:v>0.16751904100570253</c:v>
                </c:pt>
                <c:pt idx="2">
                  <c:v>0.17211201126422931</c:v>
                </c:pt>
                <c:pt idx="3">
                  <c:v>0.17235278387951886</c:v>
                </c:pt>
                <c:pt idx="4">
                  <c:v>0.17350202861656738</c:v>
                </c:pt>
                <c:pt idx="5">
                  <c:v>0.17325783719340404</c:v>
                </c:pt>
                <c:pt idx="6">
                  <c:v>0.17370434018619768</c:v>
                </c:pt>
                <c:pt idx="7">
                  <c:v>0.17412665801342012</c:v>
                </c:pt>
                <c:pt idx="8">
                  <c:v>0.17458905868679495</c:v>
                </c:pt>
                <c:pt idx="9">
                  <c:v>0.17494983749238568</c:v>
                </c:pt>
              </c:numCache>
            </c:numRef>
          </c:val>
          <c:smooth val="0"/>
          <c:extLst>
            <c:ext xmlns:c16="http://schemas.microsoft.com/office/drawing/2014/chart" uri="{C3380CC4-5D6E-409C-BE32-E72D297353CC}">
              <c16:uniqueId val="{00000000-648F-44EF-B543-9BB05D91783E}"/>
            </c:ext>
          </c:extLst>
        </c:ser>
        <c:ser>
          <c:idx val="2"/>
          <c:order val="2"/>
          <c:tx>
            <c:strRef>
              <c:f>Model!$B$29</c:f>
              <c:strCache>
                <c:ptCount val="1"/>
                <c:pt idx="0">
                  <c:v>Net Income Margin</c:v>
                </c:pt>
              </c:strCache>
            </c:strRef>
          </c:tx>
          <c:spPr>
            <a:ln w="28575" cap="rnd">
              <a:solidFill>
                <a:schemeClr val="accent3"/>
              </a:solidFill>
              <a:round/>
            </a:ln>
            <a:effectLst/>
          </c:spPr>
          <c:marker>
            <c:symbol val="none"/>
          </c:marker>
          <c:val>
            <c:numRef>
              <c:f>Model!$C$29:$L$29</c:f>
              <c:numCache>
                <c:formatCode>0.00%</c:formatCode>
                <c:ptCount val="10"/>
                <c:pt idx="0">
                  <c:v>2.7062566594223937E-2</c:v>
                </c:pt>
                <c:pt idx="1">
                  <c:v>2.5708708580939984E-2</c:v>
                </c:pt>
                <c:pt idx="2">
                  <c:v>2.4752699666035185E-2</c:v>
                </c:pt>
                <c:pt idx="3">
                  <c:v>2.8261677389314958E-2</c:v>
                </c:pt>
                <c:pt idx="4">
                  <c:v>2.8061548807288825E-2</c:v>
                </c:pt>
                <c:pt idx="5">
                  <c:v>2.6261759552193006E-2</c:v>
                </c:pt>
                <c:pt idx="6">
                  <c:v>2.5570268544551605E-2</c:v>
                </c:pt>
                <c:pt idx="7">
                  <c:v>2.5834496551916407E-2</c:v>
                </c:pt>
                <c:pt idx="8">
                  <c:v>2.5581386848641037E-2</c:v>
                </c:pt>
                <c:pt idx="9">
                  <c:v>2.6108507123519871E-2</c:v>
                </c:pt>
              </c:numCache>
            </c:numRef>
          </c:val>
          <c:smooth val="0"/>
          <c:extLst>
            <c:ext xmlns:c16="http://schemas.microsoft.com/office/drawing/2014/chart" uri="{C3380CC4-5D6E-409C-BE32-E72D297353CC}">
              <c16:uniqueId val="{00000001-648F-44EF-B543-9BB05D91783E}"/>
            </c:ext>
          </c:extLst>
        </c:ser>
        <c:dLbls>
          <c:showLegendKey val="0"/>
          <c:showVal val="0"/>
          <c:showCatName val="0"/>
          <c:showSerName val="0"/>
          <c:showPercent val="0"/>
          <c:showBubbleSize val="0"/>
        </c:dLbls>
        <c:smooth val="0"/>
        <c:axId val="562313360"/>
        <c:axId val="432345680"/>
      </c:lineChart>
      <c:catAx>
        <c:axId val="562313360"/>
        <c:scaling>
          <c:orientation val="minMax"/>
        </c:scaling>
        <c:delete val="0"/>
        <c:axPos val="b"/>
        <c:numFmt formatCode="0\A" sourceLinked="1"/>
        <c:majorTickMark val="none"/>
        <c:minorTickMark val="none"/>
        <c:tickLblPos val="nextTo"/>
        <c:spPr>
          <a:noFill/>
          <a:ln w="9525" cap="flat" cmpd="sng" algn="ctr">
            <a:solidFill>
              <a:schemeClr val="tx1">
                <a:lumMod val="15000"/>
                <a:lumOff val="85000"/>
              </a:schemeClr>
            </a:solidFill>
            <a:round/>
          </a:ln>
          <a:effectLst/>
        </c:spPr>
        <c:txPr>
          <a:bodyPr rot="-15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32345680"/>
        <c:crosses val="autoZero"/>
        <c:auto val="1"/>
        <c:lblAlgn val="ctr"/>
        <c:lblOffset val="100"/>
        <c:noMultiLvlLbl val="0"/>
      </c:catAx>
      <c:valAx>
        <c:axId val="432345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562313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Revenue Breakdown per Segment</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Model!$B$203</c:f>
              <c:strCache>
                <c:ptCount val="1"/>
                <c:pt idx="0">
                  <c:v>Net Merchandise Sales</c:v>
                </c:pt>
              </c:strCache>
            </c:strRef>
          </c:tx>
          <c:spPr>
            <a:solidFill>
              <a:schemeClr val="accent1"/>
            </a:solidFill>
            <a:ln>
              <a:noFill/>
            </a:ln>
            <a:effectLst/>
          </c:spPr>
          <c:invertIfNegative val="0"/>
          <c:cat>
            <c:numRef>
              <c:f>Model!$C$202:$L$202</c:f>
              <c:numCache>
                <c:formatCode>0\A</c:formatCode>
                <c:ptCount val="10"/>
                <c:pt idx="0">
                  <c:v>2021</c:v>
                </c:pt>
                <c:pt idx="1">
                  <c:v>2022</c:v>
                </c:pt>
                <c:pt idx="2">
                  <c:v>2023</c:v>
                </c:pt>
                <c:pt idx="3">
                  <c:v>2024</c:v>
                </c:pt>
                <c:pt idx="4">
                  <c:v>2025</c:v>
                </c:pt>
                <c:pt idx="5" formatCode="0\F">
                  <c:v>2026</c:v>
                </c:pt>
                <c:pt idx="6" formatCode="0\F">
                  <c:v>2027</c:v>
                </c:pt>
                <c:pt idx="7" formatCode="0\F">
                  <c:v>2028</c:v>
                </c:pt>
                <c:pt idx="8" formatCode="0\F">
                  <c:v>2029</c:v>
                </c:pt>
                <c:pt idx="9" formatCode="0\F">
                  <c:v>2030</c:v>
                </c:pt>
              </c:numCache>
            </c:numRef>
          </c:cat>
          <c:val>
            <c:numRef>
              <c:f>Model!$C$206:$L$206</c:f>
              <c:numCache>
                <c:formatCode>#,##0_);\(#,##0\)</c:formatCode>
                <c:ptCount val="10"/>
                <c:pt idx="0">
                  <c:v>3465442</c:v>
                </c:pt>
                <c:pt idx="1">
                  <c:v>3944817</c:v>
                </c:pt>
                <c:pt idx="2">
                  <c:v>4300706</c:v>
                </c:pt>
                <c:pt idx="3">
                  <c:v>4783119</c:v>
                </c:pt>
                <c:pt idx="4">
                  <c:v>5151120</c:v>
                </c:pt>
                <c:pt idx="5">
                  <c:v>5588516.9947449472</c:v>
                </c:pt>
                <c:pt idx="6">
                  <c:v>6127683.3462617779</c:v>
                </c:pt>
                <c:pt idx="7">
                  <c:v>6444644.0587425828</c:v>
                </c:pt>
                <c:pt idx="8">
                  <c:v>6857146.3280512765</c:v>
                </c:pt>
                <c:pt idx="9">
                  <c:v>7242152.126477981</c:v>
                </c:pt>
              </c:numCache>
            </c:numRef>
          </c:val>
          <c:extLst>
            <c:ext xmlns:c16="http://schemas.microsoft.com/office/drawing/2014/chart" uri="{C3380CC4-5D6E-409C-BE32-E72D297353CC}">
              <c16:uniqueId val="{00000000-D2FE-4276-BF1C-A4A17671352F}"/>
            </c:ext>
          </c:extLst>
        </c:ser>
        <c:ser>
          <c:idx val="1"/>
          <c:order val="1"/>
          <c:tx>
            <c:strRef>
              <c:f>Model!$B$207</c:f>
              <c:strCache>
                <c:ptCount val="1"/>
                <c:pt idx="0">
                  <c:v>Membership Income</c:v>
                </c:pt>
              </c:strCache>
            </c:strRef>
          </c:tx>
          <c:spPr>
            <a:solidFill>
              <a:schemeClr val="accent2"/>
            </a:solidFill>
            <a:ln>
              <a:noFill/>
            </a:ln>
            <a:effectLst/>
          </c:spPr>
          <c:invertIfNegative val="0"/>
          <c:cat>
            <c:numRef>
              <c:f>Model!$C$202:$L$202</c:f>
              <c:numCache>
                <c:formatCode>0\A</c:formatCode>
                <c:ptCount val="10"/>
                <c:pt idx="0">
                  <c:v>2021</c:v>
                </c:pt>
                <c:pt idx="1">
                  <c:v>2022</c:v>
                </c:pt>
                <c:pt idx="2">
                  <c:v>2023</c:v>
                </c:pt>
                <c:pt idx="3">
                  <c:v>2024</c:v>
                </c:pt>
                <c:pt idx="4">
                  <c:v>2025</c:v>
                </c:pt>
                <c:pt idx="5" formatCode="0\F">
                  <c:v>2026</c:v>
                </c:pt>
                <c:pt idx="6" formatCode="0\F">
                  <c:v>2027</c:v>
                </c:pt>
                <c:pt idx="7" formatCode="0\F">
                  <c:v>2028</c:v>
                </c:pt>
                <c:pt idx="8" formatCode="0\F">
                  <c:v>2029</c:v>
                </c:pt>
                <c:pt idx="9" formatCode="0\F">
                  <c:v>2030</c:v>
                </c:pt>
              </c:numCache>
            </c:numRef>
          </c:cat>
          <c:val>
            <c:numRef>
              <c:f>Model!$C$207:$L$207</c:f>
              <c:numCache>
                <c:formatCode>#,##0_);\(#,##0\)</c:formatCode>
                <c:ptCount val="10"/>
                <c:pt idx="0">
                  <c:v>56030</c:v>
                </c:pt>
                <c:pt idx="1">
                  <c:v>60887</c:v>
                </c:pt>
                <c:pt idx="2">
                  <c:v>66048</c:v>
                </c:pt>
                <c:pt idx="3">
                  <c:v>75240</c:v>
                </c:pt>
                <c:pt idx="4">
                  <c:v>85573</c:v>
                </c:pt>
                <c:pt idx="5">
                  <c:v>95962.883587860488</c:v>
                </c:pt>
                <c:pt idx="6">
                  <c:v>109067.25292906279</c:v>
                </c:pt>
                <c:pt idx="7">
                  <c:v>117933.27161121971</c:v>
                </c:pt>
                <c:pt idx="8">
                  <c:v>129450.23865094541</c:v>
                </c:pt>
                <c:pt idx="9">
                  <c:v>139873.76657606417</c:v>
                </c:pt>
              </c:numCache>
            </c:numRef>
          </c:val>
          <c:extLst>
            <c:ext xmlns:c16="http://schemas.microsoft.com/office/drawing/2014/chart" uri="{C3380CC4-5D6E-409C-BE32-E72D297353CC}">
              <c16:uniqueId val="{00000001-D2FE-4276-BF1C-A4A17671352F}"/>
            </c:ext>
          </c:extLst>
        </c:ser>
        <c:ser>
          <c:idx val="2"/>
          <c:order val="2"/>
          <c:tx>
            <c:strRef>
              <c:f>Model!$B$208</c:f>
              <c:strCache>
                <c:ptCount val="1"/>
                <c:pt idx="0">
                  <c:v>Export Sales</c:v>
                </c:pt>
              </c:strCache>
            </c:strRef>
          </c:tx>
          <c:spPr>
            <a:solidFill>
              <a:schemeClr val="accent3">
                <a:lumMod val="60000"/>
                <a:lumOff val="40000"/>
              </a:schemeClr>
            </a:solidFill>
            <a:ln>
              <a:noFill/>
            </a:ln>
            <a:effectLst/>
          </c:spPr>
          <c:invertIfNegative val="0"/>
          <c:cat>
            <c:numRef>
              <c:f>Model!$C$202:$L$202</c:f>
              <c:numCache>
                <c:formatCode>0\A</c:formatCode>
                <c:ptCount val="10"/>
                <c:pt idx="0">
                  <c:v>2021</c:v>
                </c:pt>
                <c:pt idx="1">
                  <c:v>2022</c:v>
                </c:pt>
                <c:pt idx="2">
                  <c:v>2023</c:v>
                </c:pt>
                <c:pt idx="3">
                  <c:v>2024</c:v>
                </c:pt>
                <c:pt idx="4">
                  <c:v>2025</c:v>
                </c:pt>
                <c:pt idx="5" formatCode="0\F">
                  <c:v>2026</c:v>
                </c:pt>
                <c:pt idx="6" formatCode="0\F">
                  <c:v>2027</c:v>
                </c:pt>
                <c:pt idx="7" formatCode="0\F">
                  <c:v>2028</c:v>
                </c:pt>
                <c:pt idx="8" formatCode="0\F">
                  <c:v>2029</c:v>
                </c:pt>
                <c:pt idx="9" formatCode="0\F">
                  <c:v>2030</c:v>
                </c:pt>
              </c:numCache>
            </c:numRef>
          </c:cat>
          <c:val>
            <c:numRef>
              <c:f>Model!$C$208:$L$208</c:f>
              <c:numCache>
                <c:formatCode>#,##0_);\(#,##0\)</c:formatCode>
                <c:ptCount val="10"/>
                <c:pt idx="0">
                  <c:v>41520</c:v>
                </c:pt>
                <c:pt idx="1">
                  <c:v>45217</c:v>
                </c:pt>
                <c:pt idx="2">
                  <c:v>31741</c:v>
                </c:pt>
                <c:pt idx="3">
                  <c:v>39438</c:v>
                </c:pt>
                <c:pt idx="4">
                  <c:v>15235</c:v>
                </c:pt>
                <c:pt idx="5">
                  <c:v>40479</c:v>
                </c:pt>
                <c:pt idx="6">
                  <c:v>44083.307875722545</c:v>
                </c:pt>
                <c:pt idx="7">
                  <c:v>48008.548463789652</c:v>
                </c:pt>
                <c:pt idx="8">
                  <c:v>52283.298070500401</c:v>
                </c:pt>
                <c:pt idx="9">
                  <c:v>56938.677477211386</c:v>
                </c:pt>
              </c:numCache>
            </c:numRef>
          </c:val>
          <c:extLst>
            <c:ext xmlns:c16="http://schemas.microsoft.com/office/drawing/2014/chart" uri="{C3380CC4-5D6E-409C-BE32-E72D297353CC}">
              <c16:uniqueId val="{00000002-D2FE-4276-BF1C-A4A17671352F}"/>
            </c:ext>
          </c:extLst>
        </c:ser>
        <c:ser>
          <c:idx val="3"/>
          <c:order val="3"/>
          <c:tx>
            <c:strRef>
              <c:f>Model!$B$209</c:f>
              <c:strCache>
                <c:ptCount val="1"/>
                <c:pt idx="0">
                  <c:v>Other Revenue &amp; Income</c:v>
                </c:pt>
              </c:strCache>
            </c:strRef>
          </c:tx>
          <c:spPr>
            <a:solidFill>
              <a:schemeClr val="accent5"/>
            </a:solidFill>
            <a:ln>
              <a:noFill/>
            </a:ln>
            <a:effectLst/>
          </c:spPr>
          <c:invertIfNegative val="0"/>
          <c:cat>
            <c:numRef>
              <c:f>Model!$C$202:$L$202</c:f>
              <c:numCache>
                <c:formatCode>0\A</c:formatCode>
                <c:ptCount val="10"/>
                <c:pt idx="0">
                  <c:v>2021</c:v>
                </c:pt>
                <c:pt idx="1">
                  <c:v>2022</c:v>
                </c:pt>
                <c:pt idx="2">
                  <c:v>2023</c:v>
                </c:pt>
                <c:pt idx="3">
                  <c:v>2024</c:v>
                </c:pt>
                <c:pt idx="4">
                  <c:v>2025</c:v>
                </c:pt>
                <c:pt idx="5" formatCode="0\F">
                  <c:v>2026</c:v>
                </c:pt>
                <c:pt idx="6" formatCode="0\F">
                  <c:v>2027</c:v>
                </c:pt>
                <c:pt idx="7" formatCode="0\F">
                  <c:v>2028</c:v>
                </c:pt>
                <c:pt idx="8" formatCode="0\F">
                  <c:v>2029</c:v>
                </c:pt>
                <c:pt idx="9" formatCode="0\F">
                  <c:v>2030</c:v>
                </c:pt>
              </c:numCache>
            </c:numRef>
          </c:cat>
          <c:val>
            <c:numRef>
              <c:f>Model!$C$209:$L$209</c:f>
              <c:numCache>
                <c:formatCode>#,##0_);\(#,##0\)</c:formatCode>
                <c:ptCount val="10"/>
                <c:pt idx="0">
                  <c:v>56879</c:v>
                </c:pt>
                <c:pt idx="1">
                  <c:v>15172</c:v>
                </c:pt>
                <c:pt idx="2">
                  <c:v>13347</c:v>
                </c:pt>
                <c:pt idx="3">
                  <c:v>16101</c:v>
                </c:pt>
                <c:pt idx="4">
                  <c:v>18166</c:v>
                </c:pt>
                <c:pt idx="5">
                  <c:v>19463.682367251167</c:v>
                </c:pt>
                <c:pt idx="6">
                  <c:v>20854.064257032038</c:v>
                </c:pt>
                <c:pt idx="7">
                  <c:v>22343.767629919479</c:v>
                </c:pt>
                <c:pt idx="8">
                  <c:v>23939.887484114344</c:v>
                </c:pt>
                <c:pt idx="9">
                  <c:v>25650.025646731985</c:v>
                </c:pt>
              </c:numCache>
            </c:numRef>
          </c:val>
          <c:extLst>
            <c:ext xmlns:c16="http://schemas.microsoft.com/office/drawing/2014/chart" uri="{C3380CC4-5D6E-409C-BE32-E72D297353CC}">
              <c16:uniqueId val="{00000003-D2FE-4276-BF1C-A4A17671352F}"/>
            </c:ext>
          </c:extLst>
        </c:ser>
        <c:dLbls>
          <c:showLegendKey val="0"/>
          <c:showVal val="0"/>
          <c:showCatName val="0"/>
          <c:showSerName val="0"/>
          <c:showPercent val="0"/>
          <c:showBubbleSize val="0"/>
        </c:dLbls>
        <c:gapWidth val="150"/>
        <c:overlap val="100"/>
        <c:axId val="165543471"/>
        <c:axId val="2143719632"/>
      </c:barChart>
      <c:catAx>
        <c:axId val="165543471"/>
        <c:scaling>
          <c:orientation val="minMax"/>
        </c:scaling>
        <c:delete val="0"/>
        <c:axPos val="b"/>
        <c:numFmt formatCode="0\A"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143719632"/>
        <c:crosses val="autoZero"/>
        <c:auto val="1"/>
        <c:lblAlgn val="ctr"/>
        <c:lblOffset val="100"/>
        <c:noMultiLvlLbl val="0"/>
      </c:catAx>
      <c:valAx>
        <c:axId val="2143719632"/>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55434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200"/>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Model!$E$447:$L$447</c:f>
              <c:numCache>
                <c:formatCode>0\A</c:formatCode>
                <c:ptCount val="8"/>
                <c:pt idx="0">
                  <c:v>2023</c:v>
                </c:pt>
                <c:pt idx="1">
                  <c:v>2024</c:v>
                </c:pt>
                <c:pt idx="2">
                  <c:v>2025</c:v>
                </c:pt>
                <c:pt idx="3" formatCode="0\F">
                  <c:v>2026</c:v>
                </c:pt>
                <c:pt idx="4" formatCode="0\F">
                  <c:v>2027</c:v>
                </c:pt>
                <c:pt idx="5" formatCode="0\F">
                  <c:v>2028</c:v>
                </c:pt>
                <c:pt idx="6" formatCode="0\F">
                  <c:v>2029</c:v>
                </c:pt>
                <c:pt idx="7" formatCode="0\F">
                  <c:v>2030</c:v>
                </c:pt>
              </c:numCache>
            </c:numRef>
          </c:cat>
          <c:val>
            <c:numRef>
              <c:f>Model!$E$452:$L$452</c:f>
              <c:numCache>
                <c:formatCode>0.00</c:formatCode>
                <c:ptCount val="8"/>
                <c:pt idx="0">
                  <c:v>3.5253575233237564</c:v>
                </c:pt>
                <c:pt idx="1">
                  <c:v>4.5330656743700226</c:v>
                </c:pt>
                <c:pt idx="2">
                  <c:v>4.8099851449788336</c:v>
                </c:pt>
                <c:pt idx="3">
                  <c:v>4.9151097930679057</c:v>
                </c:pt>
                <c:pt idx="4">
                  <c:v>5.2590317222262595</c:v>
                </c:pt>
                <c:pt idx="5">
                  <c:v>5.6023583115078424</c:v>
                </c:pt>
                <c:pt idx="6">
                  <c:v>5.9172631331515175</c:v>
                </c:pt>
                <c:pt idx="7">
                  <c:v>6.3938522729560381</c:v>
                </c:pt>
              </c:numCache>
            </c:numRef>
          </c:val>
          <c:smooth val="0"/>
          <c:extLst>
            <c:ext xmlns:c16="http://schemas.microsoft.com/office/drawing/2014/chart" uri="{C3380CC4-5D6E-409C-BE32-E72D297353CC}">
              <c16:uniqueId val="{00000000-F141-4EC7-BE0F-55D90D99BCD0}"/>
            </c:ext>
          </c:extLst>
        </c:ser>
        <c:dLbls>
          <c:showLegendKey val="0"/>
          <c:showVal val="0"/>
          <c:showCatName val="0"/>
          <c:showSerName val="0"/>
          <c:showPercent val="0"/>
          <c:showBubbleSize val="0"/>
        </c:dLbls>
        <c:smooth val="0"/>
        <c:axId val="1797901759"/>
        <c:axId val="1778172911"/>
      </c:lineChart>
      <c:catAx>
        <c:axId val="1797901759"/>
        <c:scaling>
          <c:orientation val="minMax"/>
        </c:scaling>
        <c:delete val="0"/>
        <c:axPos val="b"/>
        <c:numFmt formatCode="0\A"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8172911"/>
        <c:crosses val="autoZero"/>
        <c:auto val="1"/>
        <c:lblAlgn val="ctr"/>
        <c:lblOffset val="100"/>
        <c:noMultiLvlLbl val="0"/>
      </c:catAx>
      <c:valAx>
        <c:axId val="1778172911"/>
        <c:scaling>
          <c:orientation val="minMax"/>
          <c:min val="3"/>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7901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Football Field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DCF!$B$75:$B$79</c:f>
              <c:strCache>
                <c:ptCount val="5"/>
                <c:pt idx="0">
                  <c:v>EV/EBITDA</c:v>
                </c:pt>
                <c:pt idx="1">
                  <c:v>P/E</c:v>
                </c:pt>
                <c:pt idx="2">
                  <c:v>EV/EBIT</c:v>
                </c:pt>
                <c:pt idx="3">
                  <c:v>DCF</c:v>
                </c:pt>
                <c:pt idx="4">
                  <c:v>Weighted</c:v>
                </c:pt>
              </c:strCache>
            </c:strRef>
          </c:cat>
          <c:val>
            <c:numRef>
              <c:f>DCF!$C$75:$C$79</c:f>
              <c:numCache>
                <c:formatCode>"$"#,##0.00</c:formatCode>
                <c:ptCount val="5"/>
                <c:pt idx="0">
                  <c:v>68.55830906223548</c:v>
                </c:pt>
                <c:pt idx="1">
                  <c:v>58.235587693528274</c:v>
                </c:pt>
                <c:pt idx="2">
                  <c:v>76.649621172777259</c:v>
                </c:pt>
                <c:pt idx="3">
                  <c:v>70.651961240497414</c:v>
                </c:pt>
                <c:pt idx="4">
                  <c:v>94.846683135808433</c:v>
                </c:pt>
              </c:numCache>
            </c:numRef>
          </c:val>
          <c:extLst>
            <c:ext xmlns:c16="http://schemas.microsoft.com/office/drawing/2014/chart" uri="{C3380CC4-5D6E-409C-BE32-E72D297353CC}">
              <c16:uniqueId val="{00000000-F28F-472B-8CA9-AF9BF999F983}"/>
            </c:ext>
          </c:extLst>
        </c:ser>
        <c:ser>
          <c:idx val="1"/>
          <c:order val="1"/>
          <c:spPr>
            <a:solidFill>
              <a:schemeClr val="tx2"/>
            </a:solidFill>
            <a:ln>
              <a:noFill/>
            </a:ln>
            <a:effectLst/>
          </c:spPr>
          <c:invertIfNegative val="0"/>
          <c:cat>
            <c:strRef>
              <c:f>DCF!$B$75:$B$79</c:f>
              <c:strCache>
                <c:ptCount val="5"/>
                <c:pt idx="0">
                  <c:v>EV/EBITDA</c:v>
                </c:pt>
                <c:pt idx="1">
                  <c:v>P/E</c:v>
                </c:pt>
                <c:pt idx="2">
                  <c:v>EV/EBIT</c:v>
                </c:pt>
                <c:pt idx="3">
                  <c:v>DCF</c:v>
                </c:pt>
                <c:pt idx="4">
                  <c:v>Weighted</c:v>
                </c:pt>
              </c:strCache>
            </c:strRef>
          </c:cat>
          <c:val>
            <c:numRef>
              <c:f>DCF!$D$75:$D$79</c:f>
              <c:numCache>
                <c:formatCode>"$"#,##0.00</c:formatCode>
                <c:ptCount val="5"/>
                <c:pt idx="0">
                  <c:v>141.12463496077464</c:v>
                </c:pt>
                <c:pt idx="1">
                  <c:v>125.16757444084496</c:v>
                </c:pt>
                <c:pt idx="2">
                  <c:v>157.1610040953795</c:v>
                </c:pt>
                <c:pt idx="3">
                  <c:v>94.501684486773044</c:v>
                </c:pt>
                <c:pt idx="4">
                  <c:v>124.88884100283225</c:v>
                </c:pt>
              </c:numCache>
            </c:numRef>
          </c:val>
          <c:extLst>
            <c:ext xmlns:c16="http://schemas.microsoft.com/office/drawing/2014/chart" uri="{C3380CC4-5D6E-409C-BE32-E72D297353CC}">
              <c16:uniqueId val="{00000001-F28F-472B-8CA9-AF9BF999F983}"/>
            </c:ext>
          </c:extLst>
        </c:ser>
        <c:ser>
          <c:idx val="2"/>
          <c:order val="2"/>
          <c:spPr>
            <a:no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DCF!$B$75:$B$79</c:f>
              <c:strCache>
                <c:ptCount val="5"/>
                <c:pt idx="0">
                  <c:v>EV/EBITDA</c:v>
                </c:pt>
                <c:pt idx="1">
                  <c:v>P/E</c:v>
                </c:pt>
                <c:pt idx="2">
                  <c:v>EV/EBIT</c:v>
                </c:pt>
                <c:pt idx="3">
                  <c:v>DCF</c:v>
                </c:pt>
                <c:pt idx="4">
                  <c:v>Weighted</c:v>
                </c:pt>
              </c:strCache>
            </c:strRef>
          </c:cat>
          <c:val>
            <c:numRef>
              <c:f>DCF!$E$75:$E$79</c:f>
              <c:numCache>
                <c:formatCode>"$"#,##0.00</c:formatCode>
                <c:ptCount val="5"/>
                <c:pt idx="0">
                  <c:v>193.85712221749134</c:v>
                </c:pt>
                <c:pt idx="1">
                  <c:v>187.14657207695518</c:v>
                </c:pt>
                <c:pt idx="2">
                  <c:v>223.04323878469165</c:v>
                </c:pt>
                <c:pt idx="3">
                  <c:v>150.58782461237567</c:v>
                </c:pt>
                <c:pt idx="4">
                  <c:v>181.25590006642</c:v>
                </c:pt>
              </c:numCache>
            </c:numRef>
          </c:val>
          <c:extLst>
            <c:ext xmlns:c16="http://schemas.microsoft.com/office/drawing/2014/chart" uri="{C3380CC4-5D6E-409C-BE32-E72D297353CC}">
              <c16:uniqueId val="{00000002-F28F-472B-8CA9-AF9BF999F983}"/>
            </c:ext>
          </c:extLst>
        </c:ser>
        <c:dLbls>
          <c:showLegendKey val="0"/>
          <c:showVal val="0"/>
          <c:showCatName val="0"/>
          <c:showSerName val="0"/>
          <c:showPercent val="0"/>
          <c:showBubbleSize val="0"/>
        </c:dLbls>
        <c:gapWidth val="150"/>
        <c:overlap val="100"/>
        <c:axId val="455011184"/>
        <c:axId val="2014405584"/>
      </c:barChart>
      <c:scatterChart>
        <c:scatterStyle val="smoothMarker"/>
        <c:varyColors val="0"/>
        <c:ser>
          <c:idx val="3"/>
          <c:order val="3"/>
          <c:tx>
            <c:v>Line</c:v>
          </c:tx>
          <c:spPr>
            <a:ln w="28575" cap="rnd">
              <a:solidFill>
                <a:schemeClr val="accent4"/>
              </a:solidFill>
              <a:round/>
            </a:ln>
            <a:effectLst/>
          </c:spPr>
          <c:marker>
            <c:symbol val="none"/>
          </c:marker>
          <c:xVal>
            <c:numRef>
              <c:f>DCF!$C$82:$C$83</c:f>
              <c:numCache>
                <c:formatCode>"$"#,##0.00</c:formatCode>
                <c:ptCount val="2"/>
                <c:pt idx="0">
                  <c:v>124.88884100283225</c:v>
                </c:pt>
                <c:pt idx="1">
                  <c:v>124.88884100283225</c:v>
                </c:pt>
              </c:numCache>
            </c:numRef>
          </c:xVal>
          <c:yVal>
            <c:numRef>
              <c:f>DCF!$D$82:$D$83</c:f>
              <c:numCache>
                <c:formatCode>General</c:formatCode>
                <c:ptCount val="2"/>
                <c:pt idx="0">
                  <c:v>0.1</c:v>
                </c:pt>
                <c:pt idx="1">
                  <c:v>1.9</c:v>
                </c:pt>
              </c:numCache>
            </c:numRef>
          </c:yVal>
          <c:smooth val="1"/>
          <c:extLst>
            <c:ext xmlns:c16="http://schemas.microsoft.com/office/drawing/2014/chart" uri="{C3380CC4-5D6E-409C-BE32-E72D297353CC}">
              <c16:uniqueId val="{0000000B-F28F-472B-8CA9-AF9BF999F983}"/>
            </c:ext>
          </c:extLst>
        </c:ser>
        <c:dLbls>
          <c:showLegendKey val="0"/>
          <c:showVal val="0"/>
          <c:showCatName val="0"/>
          <c:showSerName val="0"/>
          <c:showPercent val="0"/>
          <c:showBubbleSize val="0"/>
        </c:dLbls>
        <c:axId val="2014455024"/>
        <c:axId val="2014457904"/>
      </c:scatterChart>
      <c:catAx>
        <c:axId val="455011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4405584"/>
        <c:crosses val="autoZero"/>
        <c:auto val="1"/>
        <c:lblAlgn val="ctr"/>
        <c:lblOffset val="100"/>
        <c:noMultiLvlLbl val="0"/>
      </c:catAx>
      <c:valAx>
        <c:axId val="2014405584"/>
        <c:scaling>
          <c:orientation val="minMax"/>
          <c:max val="350"/>
        </c:scaling>
        <c:delete val="0"/>
        <c:axPos val="b"/>
        <c:majorGridlines>
          <c:spPr>
            <a:ln w="9525" cap="flat" cmpd="sng" algn="ctr">
              <a:solidFill>
                <a:schemeClr val="tx1">
                  <a:lumMod val="15000"/>
                  <a:lumOff val="85000"/>
                </a:schemeClr>
              </a:solidFill>
              <a:round/>
            </a:ln>
            <a:effectLst/>
          </c:spPr>
        </c:majorGridlines>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011184"/>
        <c:crosses val="autoZero"/>
        <c:crossBetween val="between"/>
        <c:majorUnit val="50"/>
      </c:valAx>
      <c:valAx>
        <c:axId val="2014457904"/>
        <c:scaling>
          <c:orientation val="minMax"/>
        </c:scaling>
        <c:delete val="1"/>
        <c:axPos val="r"/>
        <c:numFmt formatCode="General" sourceLinked="1"/>
        <c:majorTickMark val="out"/>
        <c:minorTickMark val="none"/>
        <c:tickLblPos val="nextTo"/>
        <c:crossAx val="2014455024"/>
        <c:crosses val="max"/>
        <c:crossBetween val="midCat"/>
      </c:valAx>
      <c:valAx>
        <c:axId val="2014455024"/>
        <c:scaling>
          <c:orientation val="minMax"/>
        </c:scaling>
        <c:delete val="1"/>
        <c:axPos val="b"/>
        <c:numFmt formatCode="&quot;$&quot;#,##0.00" sourceLinked="1"/>
        <c:majorTickMark val="out"/>
        <c:minorTickMark val="none"/>
        <c:tickLblPos val="nextTo"/>
        <c:crossAx val="201445790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14</xdr:col>
      <xdr:colOff>278502</xdr:colOff>
      <xdr:row>150</xdr:row>
      <xdr:rowOff>90430</xdr:rowOff>
    </xdr:from>
    <xdr:to>
      <xdr:col>20</xdr:col>
      <xdr:colOff>502920</xdr:colOff>
      <xdr:row>180</xdr:row>
      <xdr:rowOff>85741</xdr:rowOff>
    </xdr:to>
    <xdr:graphicFrame macro="">
      <xdr:nvGraphicFramePr>
        <xdr:cNvPr id="3" name="Chart 2">
          <a:extLst>
            <a:ext uri="{FF2B5EF4-FFF2-40B4-BE49-F238E27FC236}">
              <a16:creationId xmlns:a16="http://schemas.microsoft.com/office/drawing/2014/main" id="{9FCFC579-B047-2BE9-ED60-6884C765A1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213361</xdr:colOff>
      <xdr:row>7</xdr:row>
      <xdr:rowOff>10259</xdr:rowOff>
    </xdr:from>
    <xdr:to>
      <xdr:col>19</xdr:col>
      <xdr:colOff>0</xdr:colOff>
      <xdr:row>28</xdr:row>
      <xdr:rowOff>144892</xdr:rowOff>
    </xdr:to>
    <xdr:graphicFrame macro="">
      <xdr:nvGraphicFramePr>
        <xdr:cNvPr id="5" name="Chart 4">
          <a:extLst>
            <a:ext uri="{FF2B5EF4-FFF2-40B4-BE49-F238E27FC236}">
              <a16:creationId xmlns:a16="http://schemas.microsoft.com/office/drawing/2014/main" id="{DE477F79-552F-A4DA-98E9-92EE41CBBD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297848</xdr:colOff>
      <xdr:row>187</xdr:row>
      <xdr:rowOff>0</xdr:rowOff>
    </xdr:from>
    <xdr:to>
      <xdr:col>24</xdr:col>
      <xdr:colOff>351692</xdr:colOff>
      <xdr:row>216</xdr:row>
      <xdr:rowOff>135020</xdr:rowOff>
    </xdr:to>
    <xdr:graphicFrame macro="">
      <xdr:nvGraphicFramePr>
        <xdr:cNvPr id="2" name="Chart 1">
          <a:extLst>
            <a:ext uri="{FF2B5EF4-FFF2-40B4-BE49-F238E27FC236}">
              <a16:creationId xmlns:a16="http://schemas.microsoft.com/office/drawing/2014/main" id="{C2E22D22-86DD-7ABC-163E-F144C6C0658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1143000</xdr:colOff>
      <xdr:row>432</xdr:row>
      <xdr:rowOff>31750</xdr:rowOff>
    </xdr:from>
    <xdr:to>
      <xdr:col>14</xdr:col>
      <xdr:colOff>6223000</xdr:colOff>
      <xdr:row>454</xdr:row>
      <xdr:rowOff>80435</xdr:rowOff>
    </xdr:to>
    <xdr:graphicFrame macro="">
      <xdr:nvGraphicFramePr>
        <xdr:cNvPr id="7" name="Chart 6">
          <a:extLst>
            <a:ext uri="{FF2B5EF4-FFF2-40B4-BE49-F238E27FC236}">
              <a16:creationId xmlns:a16="http://schemas.microsoft.com/office/drawing/2014/main" id="{0FB9BF13-B94D-2713-DA66-636A2E20D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10</xdr:col>
      <xdr:colOff>330726</xdr:colOff>
      <xdr:row>57</xdr:row>
      <xdr:rowOff>124684</xdr:rowOff>
    </xdr:from>
    <xdr:to>
      <xdr:col>18</xdr:col>
      <xdr:colOff>1221228</xdr:colOff>
      <xdr:row>74</xdr:row>
      <xdr:rowOff>70306</xdr:rowOff>
    </xdr:to>
    <xdr:graphicFrame macro="">
      <xdr:nvGraphicFramePr>
        <xdr:cNvPr id="3" name="Chart 2">
          <a:extLst>
            <a:ext uri="{FF2B5EF4-FFF2-40B4-BE49-F238E27FC236}">
              <a16:creationId xmlns:a16="http://schemas.microsoft.com/office/drawing/2014/main" id="{2E72C6A7-6A86-1D74-9B91-E0CEE71B7E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65"/>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410000" mc:Ignorable="a14" a14:legacySpreadsheetColorIndex="65"/>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wrap="none" lIns="18288" tIns="0" rIns="0" bIns="0" upright="1">
        <a:spAutoFit/>
      </a:bodyPr>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3" Type="http://schemas.openxmlformats.org/officeDocument/2006/relationships/hyperlink" Target="javascript:click();" TargetMode="External"/><Relationship Id="rId2" Type="http://schemas.openxmlformats.org/officeDocument/2006/relationships/hyperlink" Target="javascript:click();" TargetMode="External"/><Relationship Id="rId1" Type="http://schemas.openxmlformats.org/officeDocument/2006/relationships/hyperlink" Target="https://www.capitaliq.com/CIQDotNet/company.aspx?companyId=6528025" TargetMode="External"/><Relationship Id="rId5" Type="http://schemas.openxmlformats.org/officeDocument/2006/relationships/hyperlink" Target="javascript:click();" TargetMode="External"/><Relationship Id="rId4" Type="http://schemas.openxmlformats.org/officeDocument/2006/relationships/hyperlink" Target="javascript:click();"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30DF4-E052-41F8-AB35-08E1416943FB}">
  <sheetPr codeName="Sheet1">
    <outlinePr summaryBelow="0" summaryRight="0"/>
    <pageSetUpPr autoPageBreaks="0"/>
  </sheetPr>
  <dimension ref="A2:XFD1048576"/>
  <sheetViews>
    <sheetView showGridLines="0" zoomScaleNormal="100" workbookViewId="0"/>
  </sheetViews>
  <sheetFormatPr defaultRowHeight="10.199999999999999" x14ac:dyDescent="0.2"/>
  <cols>
    <col min="1" max="1" width="45.77734375" style="1" customWidth="1"/>
    <col min="2" max="7" width="14.77734375" style="1" customWidth="1"/>
    <col min="8" max="8" width="8.88671875" style="1"/>
    <col min="9" max="9" width="9.21875" style="1" bestFit="1" customWidth="1"/>
    <col min="10" max="10" width="10.5546875" style="1" bestFit="1" customWidth="1"/>
    <col min="11" max="256" width="8.88671875" style="1"/>
    <col min="257" max="257" width="45.77734375" style="1" customWidth="1"/>
    <col min="258" max="263" width="14.77734375" style="1" customWidth="1"/>
    <col min="264" max="512" width="8.88671875" style="1"/>
    <col min="513" max="513" width="45.77734375" style="1" customWidth="1"/>
    <col min="514" max="519" width="14.77734375" style="1" customWidth="1"/>
    <col min="520" max="768" width="8.88671875" style="1"/>
    <col min="769" max="769" width="45.77734375" style="1" customWidth="1"/>
    <col min="770" max="775" width="14.77734375" style="1" customWidth="1"/>
    <col min="776" max="1024" width="8.88671875" style="1"/>
    <col min="1025" max="1025" width="45.77734375" style="1" customWidth="1"/>
    <col min="1026" max="1031" width="14.77734375" style="1" customWidth="1"/>
    <col min="1032" max="1280" width="8.88671875" style="1"/>
    <col min="1281" max="1281" width="45.77734375" style="1" customWidth="1"/>
    <col min="1282" max="1287" width="14.77734375" style="1" customWidth="1"/>
    <col min="1288" max="1536" width="8.88671875" style="1"/>
    <col min="1537" max="1537" width="45.77734375" style="1" customWidth="1"/>
    <col min="1538" max="1543" width="14.77734375" style="1" customWidth="1"/>
    <col min="1544" max="1792" width="8.88671875" style="1"/>
    <col min="1793" max="1793" width="45.77734375" style="1" customWidth="1"/>
    <col min="1794" max="1799" width="14.77734375" style="1" customWidth="1"/>
    <col min="1800" max="2048" width="8.88671875" style="1"/>
    <col min="2049" max="2049" width="45.77734375" style="1" customWidth="1"/>
    <col min="2050" max="2055" width="14.77734375" style="1" customWidth="1"/>
    <col min="2056" max="2304" width="8.88671875" style="1"/>
    <col min="2305" max="2305" width="45.77734375" style="1" customWidth="1"/>
    <col min="2306" max="2311" width="14.77734375" style="1" customWidth="1"/>
    <col min="2312" max="2560" width="8.88671875" style="1"/>
    <col min="2561" max="2561" width="45.77734375" style="1" customWidth="1"/>
    <col min="2562" max="2567" width="14.77734375" style="1" customWidth="1"/>
    <col min="2568" max="2816" width="8.88671875" style="1"/>
    <col min="2817" max="2817" width="45.77734375" style="1" customWidth="1"/>
    <col min="2818" max="2823" width="14.77734375" style="1" customWidth="1"/>
    <col min="2824" max="3072" width="8.88671875" style="1"/>
    <col min="3073" max="3073" width="45.77734375" style="1" customWidth="1"/>
    <col min="3074" max="3079" width="14.77734375" style="1" customWidth="1"/>
    <col min="3080" max="3328" width="8.88671875" style="1"/>
    <col min="3329" max="3329" width="45.77734375" style="1" customWidth="1"/>
    <col min="3330" max="3335" width="14.77734375" style="1" customWidth="1"/>
    <col min="3336" max="3584" width="8.88671875" style="1"/>
    <col min="3585" max="3585" width="45.77734375" style="1" customWidth="1"/>
    <col min="3586" max="3591" width="14.77734375" style="1" customWidth="1"/>
    <col min="3592" max="3840" width="8.88671875" style="1"/>
    <col min="3841" max="3841" width="45.77734375" style="1" customWidth="1"/>
    <col min="3842" max="3847" width="14.77734375" style="1" customWidth="1"/>
    <col min="3848" max="4096" width="8.88671875" style="1"/>
    <col min="4097" max="4097" width="45.77734375" style="1" customWidth="1"/>
    <col min="4098" max="4103" width="14.77734375" style="1" customWidth="1"/>
    <col min="4104" max="4352" width="8.88671875" style="1"/>
    <col min="4353" max="4353" width="45.77734375" style="1" customWidth="1"/>
    <col min="4354" max="4359" width="14.77734375" style="1" customWidth="1"/>
    <col min="4360" max="4608" width="8.88671875" style="1"/>
    <col min="4609" max="4609" width="45.77734375" style="1" customWidth="1"/>
    <col min="4610" max="4615" width="14.77734375" style="1" customWidth="1"/>
    <col min="4616" max="4864" width="8.88671875" style="1"/>
    <col min="4865" max="4865" width="45.77734375" style="1" customWidth="1"/>
    <col min="4866" max="4871" width="14.77734375" style="1" customWidth="1"/>
    <col min="4872" max="5120" width="8.88671875" style="1"/>
    <col min="5121" max="5121" width="45.77734375" style="1" customWidth="1"/>
    <col min="5122" max="5127" width="14.77734375" style="1" customWidth="1"/>
    <col min="5128" max="5376" width="8.88671875" style="1"/>
    <col min="5377" max="5377" width="45.77734375" style="1" customWidth="1"/>
    <col min="5378" max="5383" width="14.77734375" style="1" customWidth="1"/>
    <col min="5384" max="5632" width="8.88671875" style="1"/>
    <col min="5633" max="5633" width="45.77734375" style="1" customWidth="1"/>
    <col min="5634" max="5639" width="14.77734375" style="1" customWidth="1"/>
    <col min="5640" max="5888" width="8.88671875" style="1"/>
    <col min="5889" max="5889" width="45.77734375" style="1" customWidth="1"/>
    <col min="5890" max="5895" width="14.77734375" style="1" customWidth="1"/>
    <col min="5896" max="6144" width="8.88671875" style="1"/>
    <col min="6145" max="6145" width="45.77734375" style="1" customWidth="1"/>
    <col min="6146" max="6151" width="14.77734375" style="1" customWidth="1"/>
    <col min="6152" max="6400" width="8.88671875" style="1"/>
    <col min="6401" max="6401" width="45.77734375" style="1" customWidth="1"/>
    <col min="6402" max="6407" width="14.77734375" style="1" customWidth="1"/>
    <col min="6408" max="6656" width="8.88671875" style="1"/>
    <col min="6657" max="6657" width="45.77734375" style="1" customWidth="1"/>
    <col min="6658" max="6663" width="14.77734375" style="1" customWidth="1"/>
    <col min="6664" max="6912" width="8.88671875" style="1"/>
    <col min="6913" max="6913" width="45.77734375" style="1" customWidth="1"/>
    <col min="6914" max="6919" width="14.77734375" style="1" customWidth="1"/>
    <col min="6920" max="7168" width="8.88671875" style="1"/>
    <col min="7169" max="7169" width="45.77734375" style="1" customWidth="1"/>
    <col min="7170" max="7175" width="14.77734375" style="1" customWidth="1"/>
    <col min="7176" max="7424" width="8.88671875" style="1"/>
    <col min="7425" max="7425" width="45.77734375" style="1" customWidth="1"/>
    <col min="7426" max="7431" width="14.77734375" style="1" customWidth="1"/>
    <col min="7432" max="7680" width="8.88671875" style="1"/>
    <col min="7681" max="7681" width="45.77734375" style="1" customWidth="1"/>
    <col min="7682" max="7687" width="14.77734375" style="1" customWidth="1"/>
    <col min="7688" max="7936" width="8.88671875" style="1"/>
    <col min="7937" max="7937" width="45.77734375" style="1" customWidth="1"/>
    <col min="7938" max="7943" width="14.77734375" style="1" customWidth="1"/>
    <col min="7944" max="8192" width="8.88671875" style="1"/>
    <col min="8193" max="8193" width="45.77734375" style="1" customWidth="1"/>
    <col min="8194" max="8199" width="14.77734375" style="1" customWidth="1"/>
    <col min="8200" max="8448" width="8.88671875" style="1"/>
    <col min="8449" max="8449" width="45.77734375" style="1" customWidth="1"/>
    <col min="8450" max="8455" width="14.77734375" style="1" customWidth="1"/>
    <col min="8456" max="8704" width="8.88671875" style="1"/>
    <col min="8705" max="8705" width="45.77734375" style="1" customWidth="1"/>
    <col min="8706" max="8711" width="14.77734375" style="1" customWidth="1"/>
    <col min="8712" max="8960" width="8.88671875" style="1"/>
    <col min="8961" max="8961" width="45.77734375" style="1" customWidth="1"/>
    <col min="8962" max="8967" width="14.77734375" style="1" customWidth="1"/>
    <col min="8968" max="9216" width="8.88671875" style="1"/>
    <col min="9217" max="9217" width="45.77734375" style="1" customWidth="1"/>
    <col min="9218" max="9223" width="14.77734375" style="1" customWidth="1"/>
    <col min="9224" max="9472" width="8.88671875" style="1"/>
    <col min="9473" max="9473" width="45.77734375" style="1" customWidth="1"/>
    <col min="9474" max="9479" width="14.77734375" style="1" customWidth="1"/>
    <col min="9480" max="9728" width="8.88671875" style="1"/>
    <col min="9729" max="9729" width="45.77734375" style="1" customWidth="1"/>
    <col min="9730" max="9735" width="14.77734375" style="1" customWidth="1"/>
    <col min="9736" max="9984" width="8.88671875" style="1"/>
    <col min="9985" max="9985" width="45.77734375" style="1" customWidth="1"/>
    <col min="9986" max="9991" width="14.77734375" style="1" customWidth="1"/>
    <col min="9992" max="10240" width="8.88671875" style="1"/>
    <col min="10241" max="10241" width="45.77734375" style="1" customWidth="1"/>
    <col min="10242" max="10247" width="14.77734375" style="1" customWidth="1"/>
    <col min="10248" max="10496" width="8.88671875" style="1"/>
    <col min="10497" max="10497" width="45.77734375" style="1" customWidth="1"/>
    <col min="10498" max="10503" width="14.77734375" style="1" customWidth="1"/>
    <col min="10504" max="10752" width="8.88671875" style="1"/>
    <col min="10753" max="10753" width="45.77734375" style="1" customWidth="1"/>
    <col min="10754" max="10759" width="14.77734375" style="1" customWidth="1"/>
    <col min="10760" max="11008" width="8.88671875" style="1"/>
    <col min="11009" max="11009" width="45.77734375" style="1" customWidth="1"/>
    <col min="11010" max="11015" width="14.77734375" style="1" customWidth="1"/>
    <col min="11016" max="11264" width="8.88671875" style="1"/>
    <col min="11265" max="11265" width="45.77734375" style="1" customWidth="1"/>
    <col min="11266" max="11271" width="14.77734375" style="1" customWidth="1"/>
    <col min="11272" max="11520" width="8.88671875" style="1"/>
    <col min="11521" max="11521" width="45.77734375" style="1" customWidth="1"/>
    <col min="11522" max="11527" width="14.77734375" style="1" customWidth="1"/>
    <col min="11528" max="11776" width="8.88671875" style="1"/>
    <col min="11777" max="11777" width="45.77734375" style="1" customWidth="1"/>
    <col min="11778" max="11783" width="14.77734375" style="1" customWidth="1"/>
    <col min="11784" max="12032" width="8.88671875" style="1"/>
    <col min="12033" max="12033" width="45.77734375" style="1" customWidth="1"/>
    <col min="12034" max="12039" width="14.77734375" style="1" customWidth="1"/>
    <col min="12040" max="12288" width="8.88671875" style="1"/>
    <col min="12289" max="12289" width="45.77734375" style="1" customWidth="1"/>
    <col min="12290" max="12295" width="14.77734375" style="1" customWidth="1"/>
    <col min="12296" max="12544" width="8.88671875" style="1"/>
    <col min="12545" max="12545" width="45.77734375" style="1" customWidth="1"/>
    <col min="12546" max="12551" width="14.77734375" style="1" customWidth="1"/>
    <col min="12552" max="12800" width="8.88671875" style="1"/>
    <col min="12801" max="12801" width="45.77734375" style="1" customWidth="1"/>
    <col min="12802" max="12807" width="14.77734375" style="1" customWidth="1"/>
    <col min="12808" max="13056" width="8.88671875" style="1"/>
    <col min="13057" max="13057" width="45.77734375" style="1" customWidth="1"/>
    <col min="13058" max="13063" width="14.77734375" style="1" customWidth="1"/>
    <col min="13064" max="13312" width="8.88671875" style="1"/>
    <col min="13313" max="13313" width="45.77734375" style="1" customWidth="1"/>
    <col min="13314" max="13319" width="14.77734375" style="1" customWidth="1"/>
    <col min="13320" max="13568" width="8.88671875" style="1"/>
    <col min="13569" max="13569" width="45.77734375" style="1" customWidth="1"/>
    <col min="13570" max="13575" width="14.77734375" style="1" customWidth="1"/>
    <col min="13576" max="13824" width="8.88671875" style="1"/>
    <col min="13825" max="13825" width="45.77734375" style="1" customWidth="1"/>
    <col min="13826" max="13831" width="14.77734375" style="1" customWidth="1"/>
    <col min="13832" max="14080" width="8.88671875" style="1"/>
    <col min="14081" max="14081" width="45.77734375" style="1" customWidth="1"/>
    <col min="14082" max="14087" width="14.77734375" style="1" customWidth="1"/>
    <col min="14088" max="14336" width="8.88671875" style="1"/>
    <col min="14337" max="14337" width="45.77734375" style="1" customWidth="1"/>
    <col min="14338" max="14343" width="14.77734375" style="1" customWidth="1"/>
    <col min="14344" max="14592" width="8.88671875" style="1"/>
    <col min="14593" max="14593" width="45.77734375" style="1" customWidth="1"/>
    <col min="14594" max="14599" width="14.77734375" style="1" customWidth="1"/>
    <col min="14600" max="14848" width="8.88671875" style="1"/>
    <col min="14849" max="14849" width="45.77734375" style="1" customWidth="1"/>
    <col min="14850" max="14855" width="14.77734375" style="1" customWidth="1"/>
    <col min="14856" max="15104" width="8.88671875" style="1"/>
    <col min="15105" max="15105" width="45.77734375" style="1" customWidth="1"/>
    <col min="15106" max="15111" width="14.77734375" style="1" customWidth="1"/>
    <col min="15112" max="15360" width="8.88671875" style="1"/>
    <col min="15361" max="15361" width="45.77734375" style="1" customWidth="1"/>
    <col min="15362" max="15367" width="14.77734375" style="1" customWidth="1"/>
    <col min="15368" max="15616" width="8.88671875" style="1"/>
    <col min="15617" max="15617" width="45.77734375" style="1" customWidth="1"/>
    <col min="15618" max="15623" width="14.77734375" style="1" customWidth="1"/>
    <col min="15624" max="15872" width="8.88671875" style="1"/>
    <col min="15873" max="15873" width="45.77734375" style="1" customWidth="1"/>
    <col min="15874" max="15879" width="14.77734375" style="1" customWidth="1"/>
    <col min="15880" max="16128" width="8.88671875" style="1"/>
    <col min="16129" max="16129" width="45.77734375" style="1" customWidth="1"/>
    <col min="16130" max="16135" width="14.77734375" style="1" customWidth="1"/>
    <col min="16136" max="16384" width="8.88671875" style="1"/>
  </cols>
  <sheetData>
    <row r="2" spans="1:255" x14ac:dyDescent="0.2">
      <c r="A2" s="4" t="s">
        <v>0</v>
      </c>
      <c r="B2" s="4"/>
      <c r="C2" s="4"/>
      <c r="D2" s="4"/>
      <c r="E2" s="4"/>
      <c r="F2" s="4"/>
      <c r="G2" s="4"/>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row>
    <row r="3" spans="1:255" ht="20.399999999999999" x14ac:dyDescent="0.2">
      <c r="A3" s="303" t="s">
        <v>1</v>
      </c>
      <c r="B3" s="304" t="s">
        <v>2</v>
      </c>
      <c r="C3" s="304" t="s">
        <v>3</v>
      </c>
      <c r="D3" s="304" t="s">
        <v>4</v>
      </c>
      <c r="E3" s="304" t="s">
        <v>5</v>
      </c>
      <c r="F3" s="304" t="s">
        <v>6</v>
      </c>
      <c r="G3" s="304" t="s">
        <v>7</v>
      </c>
    </row>
    <row r="4" spans="1:255" x14ac:dyDescent="0.2">
      <c r="A4" s="305" t="s">
        <v>8</v>
      </c>
      <c r="B4" s="306" t="s">
        <v>9</v>
      </c>
      <c r="C4" s="306" t="s">
        <v>9</v>
      </c>
      <c r="D4" s="306" t="s">
        <v>9</v>
      </c>
      <c r="E4" s="306" t="s">
        <v>9</v>
      </c>
      <c r="F4" s="306" t="s">
        <v>9</v>
      </c>
      <c r="G4" s="306" t="s">
        <v>9</v>
      </c>
    </row>
    <row r="5" spans="1:255" x14ac:dyDescent="0.2">
      <c r="A5" s="303" t="s">
        <v>10</v>
      </c>
      <c r="B5" s="304" t="s">
        <v>11</v>
      </c>
      <c r="C5" s="304" t="s">
        <v>11</v>
      </c>
      <c r="D5" s="304" t="s">
        <v>11</v>
      </c>
      <c r="E5" s="304" t="s">
        <v>11</v>
      </c>
      <c r="F5" s="304" t="s">
        <v>11</v>
      </c>
      <c r="G5" s="304" t="s">
        <v>11</v>
      </c>
    </row>
    <row r="6" spans="1:255" x14ac:dyDescent="0.2">
      <c r="A6" s="6" t="s">
        <v>12</v>
      </c>
      <c r="B6" s="2"/>
      <c r="C6" s="2"/>
      <c r="D6" s="2"/>
      <c r="E6" s="2"/>
      <c r="F6" s="2"/>
      <c r="G6" s="2"/>
    </row>
    <row r="7" spans="1:255" x14ac:dyDescent="0.2">
      <c r="A7" s="2" t="s">
        <v>13</v>
      </c>
      <c r="B7" s="7">
        <v>3191762</v>
      </c>
      <c r="C7" s="7">
        <v>3465442</v>
      </c>
      <c r="D7" s="7">
        <v>3944817</v>
      </c>
      <c r="E7" s="7">
        <v>4300706</v>
      </c>
      <c r="F7" s="7">
        <v>4783119</v>
      </c>
      <c r="G7" s="7">
        <v>5151120</v>
      </c>
    </row>
    <row r="8" spans="1:255" x14ac:dyDescent="0.2">
      <c r="A8" s="2" t="s">
        <v>14</v>
      </c>
      <c r="B8" s="7">
        <v>54501</v>
      </c>
      <c r="C8" s="7">
        <v>56030</v>
      </c>
      <c r="D8" s="7">
        <v>60887</v>
      </c>
      <c r="E8" s="7">
        <v>66048</v>
      </c>
      <c r="F8" s="7">
        <v>75240</v>
      </c>
      <c r="G8" s="7">
        <v>85573</v>
      </c>
    </row>
    <row r="9" spans="1:255" x14ac:dyDescent="0.2">
      <c r="A9" s="2" t="s">
        <v>15</v>
      </c>
      <c r="B9" s="7">
        <v>34374</v>
      </c>
      <c r="C9" s="7">
        <v>41520</v>
      </c>
      <c r="D9" s="7">
        <v>45217</v>
      </c>
      <c r="E9" s="7">
        <v>31741</v>
      </c>
      <c r="F9" s="7">
        <v>39438</v>
      </c>
      <c r="G9" s="7">
        <v>15235</v>
      </c>
    </row>
    <row r="10" spans="1:255" x14ac:dyDescent="0.2">
      <c r="A10" s="2" t="s">
        <v>16</v>
      </c>
      <c r="B10" s="7">
        <v>48551</v>
      </c>
      <c r="C10" s="7">
        <v>56879</v>
      </c>
      <c r="D10" s="7">
        <v>15172</v>
      </c>
      <c r="E10" s="7">
        <v>13347</v>
      </c>
      <c r="F10" s="7">
        <v>16101</v>
      </c>
      <c r="G10" s="7">
        <v>18166</v>
      </c>
    </row>
    <row r="11" spans="1:255" x14ac:dyDescent="0.2">
      <c r="A11" s="6" t="s">
        <v>17</v>
      </c>
      <c r="B11" s="8">
        <v>3329188</v>
      </c>
      <c r="C11" s="8">
        <v>3619871</v>
      </c>
      <c r="D11" s="8">
        <v>4066093</v>
      </c>
      <c r="E11" s="8">
        <v>4411842</v>
      </c>
      <c r="F11" s="8">
        <v>4913898</v>
      </c>
      <c r="G11" s="8">
        <v>5270094</v>
      </c>
    </row>
    <row r="12" spans="1:255" x14ac:dyDescent="0.2">
      <c r="A12" s="2"/>
      <c r="B12" s="2"/>
      <c r="C12" s="2"/>
      <c r="D12" s="2"/>
      <c r="E12" s="2"/>
      <c r="F12" s="2"/>
      <c r="G12" s="2"/>
    </row>
    <row r="13" spans="1:255" x14ac:dyDescent="0.2">
      <c r="A13" s="6" t="s">
        <v>172</v>
      </c>
      <c r="B13" s="2"/>
      <c r="C13" s="2"/>
      <c r="D13" s="2"/>
      <c r="E13" s="2"/>
      <c r="F13" s="2"/>
      <c r="G13" s="2"/>
    </row>
    <row r="14" spans="1:255" x14ac:dyDescent="0.2">
      <c r="A14" s="2" t="s">
        <v>18</v>
      </c>
      <c r="B14" s="7">
        <v>-32676</v>
      </c>
      <c r="C14" s="7">
        <v>-39513</v>
      </c>
      <c r="D14" s="7">
        <v>-43074</v>
      </c>
      <c r="E14" s="7">
        <v>-30157</v>
      </c>
      <c r="F14" s="7">
        <v>-37484</v>
      </c>
      <c r="G14" s="7">
        <v>-14364</v>
      </c>
      <c r="I14" s="70"/>
    </row>
    <row r="15" spans="1:255" x14ac:dyDescent="0.2">
      <c r="A15" s="2" t="s">
        <v>13</v>
      </c>
      <c r="B15" s="7">
        <v>-2723942</v>
      </c>
      <c r="C15" s="7">
        <v>-2912489</v>
      </c>
      <c r="D15" s="7">
        <v>-3340062</v>
      </c>
      <c r="E15" s="7">
        <v>-3622354</v>
      </c>
      <c r="F15" s="7">
        <v>-4029490</v>
      </c>
      <c r="G15" s="7">
        <v>-4341358</v>
      </c>
    </row>
    <row r="16" spans="1:255" x14ac:dyDescent="0.2">
      <c r="A16" s="2" t="s">
        <v>19</v>
      </c>
      <c r="B16" s="7">
        <v>-18160</v>
      </c>
      <c r="C16" s="7">
        <v>-23336</v>
      </c>
      <c r="D16" s="7">
        <v>-1809</v>
      </c>
      <c r="E16" s="7" t="s">
        <v>20</v>
      </c>
      <c r="F16" s="7" t="s">
        <v>20</v>
      </c>
      <c r="G16" s="7" t="s">
        <v>20</v>
      </c>
      <c r="I16" s="70"/>
    </row>
    <row r="17" spans="1:10" x14ac:dyDescent="0.2">
      <c r="A17" s="2" t="s">
        <v>21</v>
      </c>
      <c r="B17" s="7">
        <v>-106776</v>
      </c>
      <c r="C17" s="7">
        <v>-125416</v>
      </c>
      <c r="D17" s="7">
        <v>-133185</v>
      </c>
      <c r="E17" s="7">
        <v>-134783</v>
      </c>
      <c r="F17" s="7">
        <v>-156385</v>
      </c>
      <c r="G17" s="7">
        <v>-179859</v>
      </c>
    </row>
    <row r="18" spans="1:10" x14ac:dyDescent="0.2">
      <c r="A18" s="2" t="s">
        <v>22</v>
      </c>
      <c r="B18" s="7">
        <v>-323178</v>
      </c>
      <c r="C18" s="7">
        <v>-359221</v>
      </c>
      <c r="D18" s="7">
        <v>-378161</v>
      </c>
      <c r="E18" s="7">
        <v>-417272</v>
      </c>
      <c r="F18" s="7">
        <v>-466457</v>
      </c>
      <c r="G18" s="7">
        <v>-498409</v>
      </c>
    </row>
    <row r="19" spans="1:10" x14ac:dyDescent="0.2">
      <c r="A19" s="2" t="s">
        <v>23</v>
      </c>
      <c r="B19" s="7">
        <v>-1545</v>
      </c>
      <c r="C19" s="7">
        <v>-849</v>
      </c>
      <c r="D19" s="7">
        <v>-1471</v>
      </c>
      <c r="E19" s="7">
        <v>-1432</v>
      </c>
      <c r="F19" s="7">
        <v>-970</v>
      </c>
      <c r="G19" s="7">
        <v>-1127</v>
      </c>
    </row>
    <row r="20" spans="1:10" x14ac:dyDescent="0.2">
      <c r="A20" s="2" t="s">
        <v>24</v>
      </c>
      <c r="B20" s="7" t="s">
        <v>20</v>
      </c>
      <c r="C20" s="7" t="s">
        <v>20</v>
      </c>
      <c r="D20" s="7" t="s">
        <v>20</v>
      </c>
      <c r="E20" s="7">
        <v>-5658</v>
      </c>
      <c r="F20" s="7" t="s">
        <v>20</v>
      </c>
      <c r="G20" s="7" t="s">
        <v>20</v>
      </c>
    </row>
    <row r="21" spans="1:10" x14ac:dyDescent="0.2">
      <c r="A21" s="2" t="s">
        <v>25</v>
      </c>
      <c r="B21" s="7">
        <v>-7625</v>
      </c>
      <c r="C21" s="7">
        <v>-7210</v>
      </c>
      <c r="D21" s="7">
        <v>-9611</v>
      </c>
      <c r="E21" s="7">
        <v>-11020</v>
      </c>
      <c r="F21" s="7">
        <v>-12959</v>
      </c>
      <c r="G21" s="7">
        <v>-11515</v>
      </c>
    </row>
    <row r="22" spans="1:10" x14ac:dyDescent="0.2">
      <c r="A22" s="2" t="s">
        <v>26</v>
      </c>
      <c r="B22" s="7">
        <v>2031</v>
      </c>
      <c r="C22" s="7">
        <v>1979</v>
      </c>
      <c r="D22" s="7">
        <v>2201</v>
      </c>
      <c r="E22" s="7">
        <v>9871</v>
      </c>
      <c r="F22" s="7">
        <v>11049</v>
      </c>
      <c r="G22" s="7">
        <v>10139</v>
      </c>
    </row>
    <row r="23" spans="1:10" x14ac:dyDescent="0.2">
      <c r="A23" s="2" t="s">
        <v>27</v>
      </c>
      <c r="B23" s="7" t="s">
        <v>20</v>
      </c>
      <c r="C23" s="7" t="s">
        <v>20</v>
      </c>
      <c r="D23" s="7" t="s">
        <v>20</v>
      </c>
      <c r="E23" s="7">
        <v>-7179</v>
      </c>
      <c r="F23" s="7" t="s">
        <v>20</v>
      </c>
      <c r="G23" s="7" t="s">
        <v>20</v>
      </c>
    </row>
    <row r="24" spans="1:10" x14ac:dyDescent="0.2">
      <c r="A24" s="2" t="s">
        <v>28</v>
      </c>
      <c r="B24" s="7" t="s">
        <v>20</v>
      </c>
      <c r="C24" s="7" t="s">
        <v>20</v>
      </c>
      <c r="D24" s="7" t="s">
        <v>20</v>
      </c>
      <c r="E24" s="7">
        <v>-7747</v>
      </c>
      <c r="F24" s="7" t="s">
        <v>20</v>
      </c>
      <c r="G24" s="7" t="s">
        <v>20</v>
      </c>
    </row>
    <row r="25" spans="1:10" x14ac:dyDescent="0.2">
      <c r="A25" s="2" t="s">
        <v>29</v>
      </c>
      <c r="B25" s="7">
        <v>-834</v>
      </c>
      <c r="C25" s="7">
        <v>-5603</v>
      </c>
      <c r="D25" s="7">
        <v>-3235</v>
      </c>
      <c r="E25" s="7">
        <v>-14156</v>
      </c>
      <c r="F25" s="7">
        <v>-17607</v>
      </c>
      <c r="G25" s="7">
        <v>-24636</v>
      </c>
    </row>
    <row r="26" spans="1:10" x14ac:dyDescent="0.2">
      <c r="A26" s="2" t="s">
        <v>30</v>
      </c>
      <c r="B26" s="7">
        <v>-443</v>
      </c>
      <c r="C26" s="7">
        <v>-1027</v>
      </c>
      <c r="D26" s="7">
        <v>-1265</v>
      </c>
      <c r="E26" s="7">
        <v>-744</v>
      </c>
      <c r="F26" s="7">
        <v>-2168</v>
      </c>
      <c r="G26" s="7">
        <v>-2467</v>
      </c>
    </row>
    <row r="27" spans="1:10" x14ac:dyDescent="0.2">
      <c r="A27" s="6" t="s">
        <v>31</v>
      </c>
      <c r="B27" s="8">
        <v>116040</v>
      </c>
      <c r="C27" s="8">
        <v>147186</v>
      </c>
      <c r="D27" s="8">
        <v>156421</v>
      </c>
      <c r="E27" s="8">
        <v>169211</v>
      </c>
      <c r="F27" s="8">
        <v>201427</v>
      </c>
      <c r="G27" s="8">
        <v>206498</v>
      </c>
      <c r="J27" s="71"/>
    </row>
    <row r="28" spans="1:10" x14ac:dyDescent="0.2">
      <c r="A28" s="2"/>
      <c r="B28" s="33"/>
      <c r="C28" s="255"/>
      <c r="D28" s="255"/>
      <c r="E28" s="255"/>
      <c r="F28" s="255"/>
      <c r="G28" s="255"/>
    </row>
    <row r="29" spans="1:10" x14ac:dyDescent="0.2">
      <c r="A29" s="6" t="s">
        <v>32</v>
      </c>
      <c r="B29" s="2"/>
      <c r="C29" s="2"/>
      <c r="D29" s="2"/>
      <c r="E29" s="2"/>
      <c r="F29" s="2"/>
      <c r="G29" s="2"/>
    </row>
    <row r="30" spans="1:10" x14ac:dyDescent="0.2">
      <c r="A30" s="2" t="s">
        <v>33</v>
      </c>
      <c r="B30" s="7">
        <v>-37764</v>
      </c>
      <c r="C30" s="7">
        <v>-48969</v>
      </c>
      <c r="D30" s="7">
        <v>-51858</v>
      </c>
      <c r="E30" s="7">
        <v>-59951</v>
      </c>
      <c r="F30" s="7">
        <v>-62618</v>
      </c>
      <c r="G30" s="7">
        <v>-58617</v>
      </c>
    </row>
    <row r="31" spans="1:10" x14ac:dyDescent="0.2">
      <c r="A31" s="2" t="s">
        <v>34</v>
      </c>
      <c r="B31" s="7">
        <v>-95</v>
      </c>
      <c r="C31" s="7">
        <v>-58</v>
      </c>
      <c r="D31" s="7">
        <v>-10</v>
      </c>
      <c r="E31" s="7">
        <v>-55</v>
      </c>
      <c r="F31" s="7">
        <v>66</v>
      </c>
      <c r="G31" s="7">
        <v>6</v>
      </c>
    </row>
    <row r="32" spans="1:10" x14ac:dyDescent="0.2">
      <c r="A32" s="2" t="s">
        <v>35</v>
      </c>
      <c r="B32" s="7">
        <v>-72</v>
      </c>
      <c r="C32" s="7">
        <v>-196</v>
      </c>
      <c r="D32" s="7">
        <v>-19</v>
      </c>
      <c r="E32" s="7" t="s">
        <v>20</v>
      </c>
      <c r="F32" s="7" t="s">
        <v>20</v>
      </c>
      <c r="G32" s="7" t="s">
        <v>20</v>
      </c>
    </row>
    <row r="33" spans="1:7" x14ac:dyDescent="0.2">
      <c r="A33" s="6" t="s">
        <v>36</v>
      </c>
      <c r="B33" s="8">
        <v>78109</v>
      </c>
      <c r="C33" s="8">
        <v>97963</v>
      </c>
      <c r="D33" s="8">
        <v>104534</v>
      </c>
      <c r="E33" s="8">
        <v>109205</v>
      </c>
      <c r="F33" s="8">
        <v>138875</v>
      </c>
      <c r="G33" s="8">
        <v>147887</v>
      </c>
    </row>
    <row r="34" spans="1:7" x14ac:dyDescent="0.2">
      <c r="A34" s="2"/>
      <c r="B34" s="2"/>
      <c r="C34" s="2"/>
      <c r="D34" s="2"/>
      <c r="E34" s="2"/>
      <c r="F34" s="2"/>
      <c r="G34" s="2"/>
    </row>
    <row r="35" spans="1:7" x14ac:dyDescent="0.2">
      <c r="A35" s="6" t="s">
        <v>37</v>
      </c>
      <c r="B35" s="2"/>
      <c r="C35" s="2"/>
      <c r="D35" s="2"/>
      <c r="E35" s="2"/>
      <c r="F35" s="2"/>
      <c r="G35" s="2"/>
    </row>
    <row r="36" spans="1:7" x14ac:dyDescent="0.2">
      <c r="A36" s="2" t="s">
        <v>38</v>
      </c>
      <c r="B36" s="7">
        <v>-842</v>
      </c>
      <c r="C36" s="7">
        <v>-1282</v>
      </c>
      <c r="D36" s="7">
        <v>-1245</v>
      </c>
      <c r="E36" s="7">
        <v>-1311</v>
      </c>
      <c r="F36" s="7">
        <v>-1759</v>
      </c>
      <c r="G36" s="7">
        <v>-2990</v>
      </c>
    </row>
    <row r="37" spans="1:7" x14ac:dyDescent="0.2">
      <c r="A37" s="2"/>
      <c r="B37" s="2"/>
      <c r="C37" s="2"/>
      <c r="D37" s="2"/>
      <c r="E37" s="2"/>
      <c r="F37" s="2"/>
      <c r="G37" s="2"/>
    </row>
    <row r="38" spans="1:7" x14ac:dyDescent="0.2">
      <c r="A38" s="6" t="s">
        <v>39</v>
      </c>
      <c r="B38" s="2"/>
      <c r="C38" s="2"/>
      <c r="D38" s="2"/>
      <c r="E38" s="2"/>
      <c r="F38" s="2"/>
      <c r="G38" s="2"/>
    </row>
    <row r="39" spans="1:7" x14ac:dyDescent="0.2">
      <c r="A39" s="2" t="s">
        <v>40</v>
      </c>
      <c r="B39" s="9">
        <v>122468</v>
      </c>
      <c r="C39" s="9">
        <v>158020</v>
      </c>
      <c r="D39" s="9">
        <v>167066</v>
      </c>
      <c r="E39" s="9">
        <v>184516</v>
      </c>
      <c r="F39" s="9">
        <v>220944</v>
      </c>
      <c r="G39" s="9">
        <v>232510</v>
      </c>
    </row>
    <row r="40" spans="1:7" x14ac:dyDescent="0.2">
      <c r="A40" s="2" t="s">
        <v>41</v>
      </c>
      <c r="B40" s="9">
        <v>2.5499999999999998</v>
      </c>
      <c r="C40" s="9">
        <v>3.18</v>
      </c>
      <c r="D40" s="9">
        <v>3.38</v>
      </c>
      <c r="E40" s="9">
        <v>3.51</v>
      </c>
      <c r="F40" s="9">
        <v>4.57</v>
      </c>
      <c r="G40" s="9">
        <v>4.82</v>
      </c>
    </row>
    <row r="41" spans="1:7" x14ac:dyDescent="0.2">
      <c r="A41" s="2" t="s">
        <v>42</v>
      </c>
      <c r="B41" s="9">
        <v>2.5499999999999998</v>
      </c>
      <c r="C41" s="9">
        <v>3.18</v>
      </c>
      <c r="D41" s="9">
        <v>3.38</v>
      </c>
      <c r="E41" s="9">
        <v>3.5</v>
      </c>
      <c r="F41" s="9">
        <v>4.57</v>
      </c>
      <c r="G41" s="9">
        <v>4.82</v>
      </c>
    </row>
    <row r="42" spans="1:7" x14ac:dyDescent="0.2">
      <c r="A42" s="10"/>
      <c r="B42" s="10"/>
      <c r="C42" s="10"/>
      <c r="D42" s="10"/>
      <c r="E42" s="10"/>
      <c r="F42" s="10"/>
      <c r="G42" s="10"/>
    </row>
    <row r="43" spans="1:7" x14ac:dyDescent="0.2">
      <c r="A43" s="11" t="s">
        <v>43</v>
      </c>
    </row>
    <row r="1048576" spans="16384:16384" ht="13.2" x14ac:dyDescent="0.25">
      <c r="XFD1048576" s="307" t="s">
        <v>459</v>
      </c>
    </row>
  </sheetData>
  <pageMargins left="0.2" right="0.2" top="0.5" bottom="0.5" header="0.5" footer="0.5"/>
  <pageSetup fitToWidth="0" fitToHeight="0" orientation="landscape" horizontalDpi="0" verticalDpi="0"/>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3B766-2F17-4052-AF41-6FAC10DAECEE}">
  <sheetPr codeName="Sheet2">
    <outlinePr summaryBelow="0" summaryRight="0"/>
    <pageSetUpPr autoPageBreaks="0"/>
  </sheetPr>
  <dimension ref="A2:XFD1048576"/>
  <sheetViews>
    <sheetView showGridLines="0" zoomScaleNormal="100" workbookViewId="0"/>
  </sheetViews>
  <sheetFormatPr defaultRowHeight="10.199999999999999" x14ac:dyDescent="0.2"/>
  <cols>
    <col min="1" max="1" width="45.77734375" style="1" customWidth="1"/>
    <col min="2" max="7" width="14.77734375" style="1" customWidth="1"/>
    <col min="8" max="256" width="8.88671875" style="1"/>
    <col min="257" max="257" width="45.77734375" style="1" customWidth="1"/>
    <col min="258" max="263" width="14.77734375" style="1" customWidth="1"/>
    <col min="264" max="512" width="8.88671875" style="1"/>
    <col min="513" max="513" width="45.77734375" style="1" customWidth="1"/>
    <col min="514" max="519" width="14.77734375" style="1" customWidth="1"/>
    <col min="520" max="768" width="8.88671875" style="1"/>
    <col min="769" max="769" width="45.77734375" style="1" customWidth="1"/>
    <col min="770" max="775" width="14.77734375" style="1" customWidth="1"/>
    <col min="776" max="1024" width="8.88671875" style="1"/>
    <col min="1025" max="1025" width="45.77734375" style="1" customWidth="1"/>
    <col min="1026" max="1031" width="14.77734375" style="1" customWidth="1"/>
    <col min="1032" max="1280" width="8.88671875" style="1"/>
    <col min="1281" max="1281" width="45.77734375" style="1" customWidth="1"/>
    <col min="1282" max="1287" width="14.77734375" style="1" customWidth="1"/>
    <col min="1288" max="1536" width="8.88671875" style="1"/>
    <col min="1537" max="1537" width="45.77734375" style="1" customWidth="1"/>
    <col min="1538" max="1543" width="14.77734375" style="1" customWidth="1"/>
    <col min="1544" max="1792" width="8.88671875" style="1"/>
    <col min="1793" max="1793" width="45.77734375" style="1" customWidth="1"/>
    <col min="1794" max="1799" width="14.77734375" style="1" customWidth="1"/>
    <col min="1800" max="2048" width="8.88671875" style="1"/>
    <col min="2049" max="2049" width="45.77734375" style="1" customWidth="1"/>
    <col min="2050" max="2055" width="14.77734375" style="1" customWidth="1"/>
    <col min="2056" max="2304" width="8.88671875" style="1"/>
    <col min="2305" max="2305" width="45.77734375" style="1" customWidth="1"/>
    <col min="2306" max="2311" width="14.77734375" style="1" customWidth="1"/>
    <col min="2312" max="2560" width="8.88671875" style="1"/>
    <col min="2561" max="2561" width="45.77734375" style="1" customWidth="1"/>
    <col min="2562" max="2567" width="14.77734375" style="1" customWidth="1"/>
    <col min="2568" max="2816" width="8.88671875" style="1"/>
    <col min="2817" max="2817" width="45.77734375" style="1" customWidth="1"/>
    <col min="2818" max="2823" width="14.77734375" style="1" customWidth="1"/>
    <col min="2824" max="3072" width="8.88671875" style="1"/>
    <col min="3073" max="3073" width="45.77734375" style="1" customWidth="1"/>
    <col min="3074" max="3079" width="14.77734375" style="1" customWidth="1"/>
    <col min="3080" max="3328" width="8.88671875" style="1"/>
    <col min="3329" max="3329" width="45.77734375" style="1" customWidth="1"/>
    <col min="3330" max="3335" width="14.77734375" style="1" customWidth="1"/>
    <col min="3336" max="3584" width="8.88671875" style="1"/>
    <col min="3585" max="3585" width="45.77734375" style="1" customWidth="1"/>
    <col min="3586" max="3591" width="14.77734375" style="1" customWidth="1"/>
    <col min="3592" max="3840" width="8.88671875" style="1"/>
    <col min="3841" max="3841" width="45.77734375" style="1" customWidth="1"/>
    <col min="3842" max="3847" width="14.77734375" style="1" customWidth="1"/>
    <col min="3848" max="4096" width="8.88671875" style="1"/>
    <col min="4097" max="4097" width="45.77734375" style="1" customWidth="1"/>
    <col min="4098" max="4103" width="14.77734375" style="1" customWidth="1"/>
    <col min="4104" max="4352" width="8.88671875" style="1"/>
    <col min="4353" max="4353" width="45.77734375" style="1" customWidth="1"/>
    <col min="4354" max="4359" width="14.77734375" style="1" customWidth="1"/>
    <col min="4360" max="4608" width="8.88671875" style="1"/>
    <col min="4609" max="4609" width="45.77734375" style="1" customWidth="1"/>
    <col min="4610" max="4615" width="14.77734375" style="1" customWidth="1"/>
    <col min="4616" max="4864" width="8.88671875" style="1"/>
    <col min="4865" max="4865" width="45.77734375" style="1" customWidth="1"/>
    <col min="4866" max="4871" width="14.77734375" style="1" customWidth="1"/>
    <col min="4872" max="5120" width="8.88671875" style="1"/>
    <col min="5121" max="5121" width="45.77734375" style="1" customWidth="1"/>
    <col min="5122" max="5127" width="14.77734375" style="1" customWidth="1"/>
    <col min="5128" max="5376" width="8.88671875" style="1"/>
    <col min="5377" max="5377" width="45.77734375" style="1" customWidth="1"/>
    <col min="5378" max="5383" width="14.77734375" style="1" customWidth="1"/>
    <col min="5384" max="5632" width="8.88671875" style="1"/>
    <col min="5633" max="5633" width="45.77734375" style="1" customWidth="1"/>
    <col min="5634" max="5639" width="14.77734375" style="1" customWidth="1"/>
    <col min="5640" max="5888" width="8.88671875" style="1"/>
    <col min="5889" max="5889" width="45.77734375" style="1" customWidth="1"/>
    <col min="5890" max="5895" width="14.77734375" style="1" customWidth="1"/>
    <col min="5896" max="6144" width="8.88671875" style="1"/>
    <col min="6145" max="6145" width="45.77734375" style="1" customWidth="1"/>
    <col min="6146" max="6151" width="14.77734375" style="1" customWidth="1"/>
    <col min="6152" max="6400" width="8.88671875" style="1"/>
    <col min="6401" max="6401" width="45.77734375" style="1" customWidth="1"/>
    <col min="6402" max="6407" width="14.77734375" style="1" customWidth="1"/>
    <col min="6408" max="6656" width="8.88671875" style="1"/>
    <col min="6657" max="6657" width="45.77734375" style="1" customWidth="1"/>
    <col min="6658" max="6663" width="14.77734375" style="1" customWidth="1"/>
    <col min="6664" max="6912" width="8.88671875" style="1"/>
    <col min="6913" max="6913" width="45.77734375" style="1" customWidth="1"/>
    <col min="6914" max="6919" width="14.77734375" style="1" customWidth="1"/>
    <col min="6920" max="7168" width="8.88671875" style="1"/>
    <col min="7169" max="7169" width="45.77734375" style="1" customWidth="1"/>
    <col min="7170" max="7175" width="14.77734375" style="1" customWidth="1"/>
    <col min="7176" max="7424" width="8.88671875" style="1"/>
    <col min="7425" max="7425" width="45.77734375" style="1" customWidth="1"/>
    <col min="7426" max="7431" width="14.77734375" style="1" customWidth="1"/>
    <col min="7432" max="7680" width="8.88671875" style="1"/>
    <col min="7681" max="7681" width="45.77734375" style="1" customWidth="1"/>
    <col min="7682" max="7687" width="14.77734375" style="1" customWidth="1"/>
    <col min="7688" max="7936" width="8.88671875" style="1"/>
    <col min="7937" max="7937" width="45.77734375" style="1" customWidth="1"/>
    <col min="7938" max="7943" width="14.77734375" style="1" customWidth="1"/>
    <col min="7944" max="8192" width="8.88671875" style="1"/>
    <col min="8193" max="8193" width="45.77734375" style="1" customWidth="1"/>
    <col min="8194" max="8199" width="14.77734375" style="1" customWidth="1"/>
    <col min="8200" max="8448" width="8.88671875" style="1"/>
    <col min="8449" max="8449" width="45.77734375" style="1" customWidth="1"/>
    <col min="8450" max="8455" width="14.77734375" style="1" customWidth="1"/>
    <col min="8456" max="8704" width="8.88671875" style="1"/>
    <col min="8705" max="8705" width="45.77734375" style="1" customWidth="1"/>
    <col min="8706" max="8711" width="14.77734375" style="1" customWidth="1"/>
    <col min="8712" max="8960" width="8.88671875" style="1"/>
    <col min="8961" max="8961" width="45.77734375" style="1" customWidth="1"/>
    <col min="8962" max="8967" width="14.77734375" style="1" customWidth="1"/>
    <col min="8968" max="9216" width="8.88671875" style="1"/>
    <col min="9217" max="9217" width="45.77734375" style="1" customWidth="1"/>
    <col min="9218" max="9223" width="14.77734375" style="1" customWidth="1"/>
    <col min="9224" max="9472" width="8.88671875" style="1"/>
    <col min="9473" max="9473" width="45.77734375" style="1" customWidth="1"/>
    <col min="9474" max="9479" width="14.77734375" style="1" customWidth="1"/>
    <col min="9480" max="9728" width="8.88671875" style="1"/>
    <col min="9729" max="9729" width="45.77734375" style="1" customWidth="1"/>
    <col min="9730" max="9735" width="14.77734375" style="1" customWidth="1"/>
    <col min="9736" max="9984" width="8.88671875" style="1"/>
    <col min="9985" max="9985" width="45.77734375" style="1" customWidth="1"/>
    <col min="9986" max="9991" width="14.77734375" style="1" customWidth="1"/>
    <col min="9992" max="10240" width="8.88671875" style="1"/>
    <col min="10241" max="10241" width="45.77734375" style="1" customWidth="1"/>
    <col min="10242" max="10247" width="14.77734375" style="1" customWidth="1"/>
    <col min="10248" max="10496" width="8.88671875" style="1"/>
    <col min="10497" max="10497" width="45.77734375" style="1" customWidth="1"/>
    <col min="10498" max="10503" width="14.77734375" style="1" customWidth="1"/>
    <col min="10504" max="10752" width="8.88671875" style="1"/>
    <col min="10753" max="10753" width="45.77734375" style="1" customWidth="1"/>
    <col min="10754" max="10759" width="14.77734375" style="1" customWidth="1"/>
    <col min="10760" max="11008" width="8.88671875" style="1"/>
    <col min="11009" max="11009" width="45.77734375" style="1" customWidth="1"/>
    <col min="11010" max="11015" width="14.77734375" style="1" customWidth="1"/>
    <col min="11016" max="11264" width="8.88671875" style="1"/>
    <col min="11265" max="11265" width="45.77734375" style="1" customWidth="1"/>
    <col min="11266" max="11271" width="14.77734375" style="1" customWidth="1"/>
    <col min="11272" max="11520" width="8.88671875" style="1"/>
    <col min="11521" max="11521" width="45.77734375" style="1" customWidth="1"/>
    <col min="11522" max="11527" width="14.77734375" style="1" customWidth="1"/>
    <col min="11528" max="11776" width="8.88671875" style="1"/>
    <col min="11777" max="11777" width="45.77734375" style="1" customWidth="1"/>
    <col min="11778" max="11783" width="14.77734375" style="1" customWidth="1"/>
    <col min="11784" max="12032" width="8.88671875" style="1"/>
    <col min="12033" max="12033" width="45.77734375" style="1" customWidth="1"/>
    <col min="12034" max="12039" width="14.77734375" style="1" customWidth="1"/>
    <col min="12040" max="12288" width="8.88671875" style="1"/>
    <col min="12289" max="12289" width="45.77734375" style="1" customWidth="1"/>
    <col min="12290" max="12295" width="14.77734375" style="1" customWidth="1"/>
    <col min="12296" max="12544" width="8.88671875" style="1"/>
    <col min="12545" max="12545" width="45.77734375" style="1" customWidth="1"/>
    <col min="12546" max="12551" width="14.77734375" style="1" customWidth="1"/>
    <col min="12552" max="12800" width="8.88671875" style="1"/>
    <col min="12801" max="12801" width="45.77734375" style="1" customWidth="1"/>
    <col min="12802" max="12807" width="14.77734375" style="1" customWidth="1"/>
    <col min="12808" max="13056" width="8.88671875" style="1"/>
    <col min="13057" max="13057" width="45.77734375" style="1" customWidth="1"/>
    <col min="13058" max="13063" width="14.77734375" style="1" customWidth="1"/>
    <col min="13064" max="13312" width="8.88671875" style="1"/>
    <col min="13313" max="13313" width="45.77734375" style="1" customWidth="1"/>
    <col min="13314" max="13319" width="14.77734375" style="1" customWidth="1"/>
    <col min="13320" max="13568" width="8.88671875" style="1"/>
    <col min="13569" max="13569" width="45.77734375" style="1" customWidth="1"/>
    <col min="13570" max="13575" width="14.77734375" style="1" customWidth="1"/>
    <col min="13576" max="13824" width="8.88671875" style="1"/>
    <col min="13825" max="13825" width="45.77734375" style="1" customWidth="1"/>
    <col min="13826" max="13831" width="14.77734375" style="1" customWidth="1"/>
    <col min="13832" max="14080" width="8.88671875" style="1"/>
    <col min="14081" max="14081" width="45.77734375" style="1" customWidth="1"/>
    <col min="14082" max="14087" width="14.77734375" style="1" customWidth="1"/>
    <col min="14088" max="14336" width="8.88671875" style="1"/>
    <col min="14337" max="14337" width="45.77734375" style="1" customWidth="1"/>
    <col min="14338" max="14343" width="14.77734375" style="1" customWidth="1"/>
    <col min="14344" max="14592" width="8.88671875" style="1"/>
    <col min="14593" max="14593" width="45.77734375" style="1" customWidth="1"/>
    <col min="14594" max="14599" width="14.77734375" style="1" customWidth="1"/>
    <col min="14600" max="14848" width="8.88671875" style="1"/>
    <col min="14849" max="14849" width="45.77734375" style="1" customWidth="1"/>
    <col min="14850" max="14855" width="14.77734375" style="1" customWidth="1"/>
    <col min="14856" max="15104" width="8.88671875" style="1"/>
    <col min="15105" max="15105" width="45.77734375" style="1" customWidth="1"/>
    <col min="15106" max="15111" width="14.77734375" style="1" customWidth="1"/>
    <col min="15112" max="15360" width="8.88671875" style="1"/>
    <col min="15361" max="15361" width="45.77734375" style="1" customWidth="1"/>
    <col min="15362" max="15367" width="14.77734375" style="1" customWidth="1"/>
    <col min="15368" max="15616" width="8.88671875" style="1"/>
    <col min="15617" max="15617" width="45.77734375" style="1" customWidth="1"/>
    <col min="15618" max="15623" width="14.77734375" style="1" customWidth="1"/>
    <col min="15624" max="15872" width="8.88671875" style="1"/>
    <col min="15873" max="15873" width="45.77734375" style="1" customWidth="1"/>
    <col min="15874" max="15879" width="14.77734375" style="1" customWidth="1"/>
    <col min="15880" max="16128" width="8.88671875" style="1"/>
    <col min="16129" max="16129" width="45.77734375" style="1" customWidth="1"/>
    <col min="16130" max="16135" width="14.77734375" style="1" customWidth="1"/>
    <col min="16136" max="16384" width="8.88671875" style="1"/>
  </cols>
  <sheetData>
    <row r="2" spans="1:255" x14ac:dyDescent="0.2">
      <c r="A2" s="4" t="s">
        <v>44</v>
      </c>
      <c r="B2" s="4"/>
      <c r="C2" s="4"/>
      <c r="D2" s="4"/>
      <c r="E2" s="4"/>
      <c r="F2" s="4"/>
      <c r="G2" s="4"/>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row>
    <row r="3" spans="1:255" ht="20.399999999999999" x14ac:dyDescent="0.2">
      <c r="A3" s="303" t="s">
        <v>45</v>
      </c>
      <c r="B3" s="304">
        <v>44074</v>
      </c>
      <c r="C3" s="304">
        <v>44439</v>
      </c>
      <c r="D3" s="304">
        <v>44804</v>
      </c>
      <c r="E3" s="304">
        <v>45169</v>
      </c>
      <c r="F3" s="304">
        <v>45535</v>
      </c>
      <c r="G3" s="304">
        <v>45900</v>
      </c>
    </row>
    <row r="4" spans="1:255" x14ac:dyDescent="0.2">
      <c r="A4" s="305" t="s">
        <v>8</v>
      </c>
      <c r="B4" s="306" t="s">
        <v>9</v>
      </c>
      <c r="C4" s="306" t="s">
        <v>9</v>
      </c>
      <c r="D4" s="306" t="s">
        <v>9</v>
      </c>
      <c r="E4" s="306" t="s">
        <v>9</v>
      </c>
      <c r="F4" s="306" t="s">
        <v>9</v>
      </c>
      <c r="G4" s="306" t="s">
        <v>9</v>
      </c>
    </row>
    <row r="5" spans="1:255" x14ac:dyDescent="0.2">
      <c r="A5" s="303" t="s">
        <v>10</v>
      </c>
      <c r="B5" s="304" t="s">
        <v>11</v>
      </c>
      <c r="C5" s="304" t="s">
        <v>11</v>
      </c>
      <c r="D5" s="304" t="s">
        <v>11</v>
      </c>
      <c r="E5" s="304" t="s">
        <v>11</v>
      </c>
      <c r="F5" s="304" t="s">
        <v>11</v>
      </c>
      <c r="G5" s="304" t="s">
        <v>11</v>
      </c>
    </row>
    <row r="6" spans="1:255" x14ac:dyDescent="0.2">
      <c r="A6" s="6" t="s">
        <v>46</v>
      </c>
      <c r="B6" s="2"/>
      <c r="C6" s="33"/>
      <c r="D6" s="33"/>
      <c r="E6" s="33"/>
      <c r="F6" s="2"/>
      <c r="G6" s="2"/>
    </row>
    <row r="7" spans="1:255" x14ac:dyDescent="0.2">
      <c r="A7" s="2" t="s">
        <v>47</v>
      </c>
      <c r="B7" s="7">
        <v>299481</v>
      </c>
      <c r="C7" s="7">
        <v>202060</v>
      </c>
      <c r="D7" s="7">
        <v>237710</v>
      </c>
      <c r="E7" s="7">
        <v>239984</v>
      </c>
      <c r="F7" s="7">
        <v>125364</v>
      </c>
      <c r="G7" s="7">
        <v>241024</v>
      </c>
    </row>
    <row r="8" spans="1:255" x14ac:dyDescent="0.2">
      <c r="A8" s="2" t="s">
        <v>48</v>
      </c>
      <c r="B8" s="7">
        <v>46509</v>
      </c>
      <c r="C8" s="7">
        <v>50233</v>
      </c>
      <c r="D8" s="7">
        <v>11160</v>
      </c>
      <c r="E8" s="7">
        <v>91081</v>
      </c>
      <c r="F8" s="7">
        <v>100165</v>
      </c>
      <c r="G8" s="7">
        <v>73186</v>
      </c>
    </row>
    <row r="9" spans="1:255" x14ac:dyDescent="0.2">
      <c r="A9" s="2" t="s">
        <v>49</v>
      </c>
      <c r="B9" s="7">
        <v>13153</v>
      </c>
      <c r="C9" s="7">
        <v>12359</v>
      </c>
      <c r="D9" s="7">
        <v>13391</v>
      </c>
      <c r="E9" s="7">
        <v>17904</v>
      </c>
      <c r="F9" s="7">
        <v>18847</v>
      </c>
      <c r="G9" s="7">
        <v>17400</v>
      </c>
    </row>
    <row r="10" spans="1:255" x14ac:dyDescent="0.2">
      <c r="A10" s="2" t="s">
        <v>50</v>
      </c>
      <c r="B10" s="7">
        <v>309509</v>
      </c>
      <c r="C10" s="7">
        <v>389711</v>
      </c>
      <c r="D10" s="7">
        <v>464411</v>
      </c>
      <c r="E10" s="7">
        <v>471407</v>
      </c>
      <c r="F10" s="7">
        <v>528678</v>
      </c>
      <c r="G10" s="7">
        <v>560730</v>
      </c>
    </row>
    <row r="11" spans="1:255" x14ac:dyDescent="0.2">
      <c r="A11" s="2" t="s">
        <v>51</v>
      </c>
      <c r="B11" s="7">
        <v>30165</v>
      </c>
      <c r="C11" s="7">
        <v>39194</v>
      </c>
      <c r="D11" s="7">
        <v>43894</v>
      </c>
      <c r="E11" s="7">
        <v>53866</v>
      </c>
      <c r="F11" s="7">
        <v>57910</v>
      </c>
      <c r="G11" s="7">
        <v>71059</v>
      </c>
    </row>
    <row r="12" spans="1:255" x14ac:dyDescent="0.2">
      <c r="A12" s="2" t="s">
        <v>52</v>
      </c>
      <c r="B12" s="7">
        <v>185</v>
      </c>
      <c r="C12" s="7">
        <v>3647</v>
      </c>
      <c r="D12" s="7">
        <v>3013</v>
      </c>
      <c r="E12" s="7">
        <v>2865</v>
      </c>
      <c r="F12" s="7">
        <v>1383</v>
      </c>
      <c r="G12" s="7">
        <v>11061</v>
      </c>
    </row>
    <row r="13" spans="1:255" x14ac:dyDescent="0.2">
      <c r="A13" s="6" t="s">
        <v>53</v>
      </c>
      <c r="B13" s="8">
        <v>699002</v>
      </c>
      <c r="C13" s="8">
        <v>697204</v>
      </c>
      <c r="D13" s="8">
        <v>773579</v>
      </c>
      <c r="E13" s="8">
        <v>877107</v>
      </c>
      <c r="F13" s="8">
        <v>832347</v>
      </c>
      <c r="G13" s="8">
        <v>974460</v>
      </c>
    </row>
    <row r="14" spans="1:255" x14ac:dyDescent="0.2">
      <c r="A14" s="2"/>
      <c r="B14" s="184"/>
      <c r="C14" s="184"/>
      <c r="D14" s="33"/>
      <c r="E14" s="2"/>
      <c r="F14" s="2"/>
      <c r="G14" s="2"/>
    </row>
    <row r="15" spans="1:255" x14ac:dyDescent="0.2">
      <c r="A15" s="6" t="s">
        <v>54</v>
      </c>
      <c r="B15" s="2"/>
      <c r="C15" s="2"/>
      <c r="D15" s="2"/>
      <c r="E15" s="2"/>
      <c r="F15" s="2"/>
      <c r="G15" s="2"/>
    </row>
    <row r="16" spans="1:255" x14ac:dyDescent="0.2">
      <c r="A16" s="2" t="s">
        <v>55</v>
      </c>
      <c r="B16" s="7">
        <v>119533</v>
      </c>
      <c r="C16" s="7">
        <v>123655</v>
      </c>
      <c r="D16" s="7">
        <v>111810</v>
      </c>
      <c r="E16" s="7">
        <v>114201</v>
      </c>
      <c r="F16" s="7">
        <v>96415</v>
      </c>
      <c r="G16" s="7">
        <v>113479</v>
      </c>
    </row>
    <row r="17" spans="1:7" x14ac:dyDescent="0.2">
      <c r="A17" s="2" t="s">
        <v>56</v>
      </c>
      <c r="B17" s="7" t="s">
        <v>20</v>
      </c>
      <c r="C17" s="7" t="s">
        <v>20</v>
      </c>
      <c r="D17" s="7" t="s">
        <v>20</v>
      </c>
      <c r="E17" s="7">
        <v>850328</v>
      </c>
      <c r="F17" s="7" t="s">
        <v>20</v>
      </c>
      <c r="G17" s="7" t="s">
        <v>20</v>
      </c>
    </row>
    <row r="18" spans="1:7" x14ac:dyDescent="0.2">
      <c r="A18" s="2" t="s">
        <v>57</v>
      </c>
      <c r="B18" s="7">
        <v>692279</v>
      </c>
      <c r="C18" s="7">
        <v>730204</v>
      </c>
      <c r="D18" s="7">
        <v>757241</v>
      </c>
      <c r="E18" s="7" t="s">
        <v>20</v>
      </c>
      <c r="F18" s="7">
        <v>936108</v>
      </c>
      <c r="G18" s="7">
        <v>996281</v>
      </c>
    </row>
    <row r="19" spans="1:7" x14ac:dyDescent="0.2">
      <c r="A19" s="2" t="s">
        <v>58</v>
      </c>
      <c r="B19" s="7" t="s">
        <v>20</v>
      </c>
      <c r="C19" s="7" t="s">
        <v>20</v>
      </c>
      <c r="D19" s="7" t="s">
        <v>20</v>
      </c>
      <c r="E19" s="7">
        <v>10479</v>
      </c>
      <c r="F19" s="7" t="s">
        <v>20</v>
      </c>
      <c r="G19" s="7" t="s">
        <v>20</v>
      </c>
    </row>
    <row r="20" spans="1:7" x14ac:dyDescent="0.2">
      <c r="A20" s="2" t="s">
        <v>59</v>
      </c>
      <c r="B20" s="7">
        <v>10602</v>
      </c>
      <c r="C20" s="7">
        <v>10544</v>
      </c>
      <c r="D20" s="7">
        <v>10534</v>
      </c>
      <c r="E20" s="7" t="s">
        <v>20</v>
      </c>
      <c r="F20" s="7">
        <v>6882</v>
      </c>
      <c r="G20" s="7">
        <v>6889</v>
      </c>
    </row>
    <row r="21" spans="1:7" x14ac:dyDescent="0.2">
      <c r="A21" s="2" t="s">
        <v>60</v>
      </c>
      <c r="B21" s="7">
        <v>21672</v>
      </c>
      <c r="C21" s="7">
        <v>24225</v>
      </c>
      <c r="D21" s="7">
        <v>28355</v>
      </c>
      <c r="E21" s="7" t="s">
        <v>20</v>
      </c>
      <c r="F21" s="7">
        <v>36618</v>
      </c>
      <c r="G21" s="7">
        <v>41229</v>
      </c>
    </row>
    <row r="22" spans="1:7" x14ac:dyDescent="0.2">
      <c r="A22" s="2" t="s">
        <v>61</v>
      </c>
      <c r="B22" s="7" t="s">
        <v>20</v>
      </c>
      <c r="C22" s="7" t="s">
        <v>20</v>
      </c>
      <c r="D22" s="7" t="s">
        <v>20</v>
      </c>
      <c r="E22" s="7">
        <v>32039</v>
      </c>
      <c r="F22" s="7" t="s">
        <v>20</v>
      </c>
      <c r="G22" s="7" t="s">
        <v>20</v>
      </c>
    </row>
    <row r="23" spans="1:7" x14ac:dyDescent="0.2">
      <c r="A23" s="2" t="s">
        <v>62</v>
      </c>
      <c r="B23" s="7">
        <v>45206</v>
      </c>
      <c r="C23" s="7">
        <v>45095</v>
      </c>
      <c r="D23" s="7">
        <v>43303</v>
      </c>
      <c r="E23" s="7">
        <v>43110</v>
      </c>
      <c r="F23" s="7">
        <v>43197</v>
      </c>
      <c r="G23" s="7">
        <v>43238</v>
      </c>
    </row>
    <row r="24" spans="1:7" x14ac:dyDescent="0.2">
      <c r="A24" s="2" t="s">
        <v>63</v>
      </c>
      <c r="B24" s="7">
        <v>10166</v>
      </c>
      <c r="C24" s="7">
        <v>7762</v>
      </c>
      <c r="D24" s="7" t="s">
        <v>20</v>
      </c>
      <c r="E24" s="7" t="s">
        <v>20</v>
      </c>
      <c r="F24" s="7" t="s">
        <v>20</v>
      </c>
      <c r="G24" s="7" t="s">
        <v>20</v>
      </c>
    </row>
    <row r="25" spans="1:7" x14ac:dyDescent="0.2">
      <c r="A25" s="2" t="s">
        <v>64</v>
      </c>
      <c r="B25" s="7">
        <v>4105</v>
      </c>
      <c r="C25" s="7">
        <v>9772</v>
      </c>
      <c r="D25" s="7">
        <v>10650</v>
      </c>
      <c r="E25" s="7" t="s">
        <v>20</v>
      </c>
      <c r="F25" s="7">
        <v>9564</v>
      </c>
      <c r="G25" s="7">
        <v>33206</v>
      </c>
    </row>
    <row r="26" spans="1:7" x14ac:dyDescent="0.2">
      <c r="A26" s="2" t="s">
        <v>65</v>
      </c>
      <c r="B26" s="7" t="s">
        <v>20</v>
      </c>
      <c r="C26" s="7" t="s">
        <v>20</v>
      </c>
      <c r="D26" s="7" t="s">
        <v>20</v>
      </c>
      <c r="E26" s="7">
        <v>9353</v>
      </c>
      <c r="F26" s="7" t="s">
        <v>20</v>
      </c>
      <c r="G26" s="7" t="s">
        <v>20</v>
      </c>
    </row>
    <row r="27" spans="1:7" x14ac:dyDescent="0.2">
      <c r="A27" s="2" t="s">
        <v>66</v>
      </c>
      <c r="B27" s="7">
        <v>54260</v>
      </c>
      <c r="C27" s="7">
        <v>57329</v>
      </c>
      <c r="D27" s="7">
        <v>72928</v>
      </c>
      <c r="E27" s="7" t="s">
        <v>20</v>
      </c>
      <c r="F27" s="7">
        <v>61563</v>
      </c>
      <c r="G27" s="7">
        <v>60375</v>
      </c>
    </row>
    <row r="28" spans="1:7" x14ac:dyDescent="0.2">
      <c r="A28" s="2" t="s">
        <v>67</v>
      </c>
      <c r="B28" s="7" t="s">
        <v>20</v>
      </c>
      <c r="C28" s="7" t="s">
        <v>20</v>
      </c>
      <c r="D28" s="7" t="s">
        <v>20</v>
      </c>
      <c r="E28" s="7">
        <v>68991</v>
      </c>
      <c r="F28" s="7" t="s">
        <v>20</v>
      </c>
      <c r="G28" s="7" t="s">
        <v>20</v>
      </c>
    </row>
    <row r="29" spans="1:7" x14ac:dyDescent="0.2">
      <c r="A29" s="6" t="s">
        <v>68</v>
      </c>
      <c r="B29" s="8">
        <v>1656825</v>
      </c>
      <c r="C29" s="8">
        <v>1705790</v>
      </c>
      <c r="D29" s="8">
        <v>1808400</v>
      </c>
      <c r="E29" s="8">
        <v>2005608</v>
      </c>
      <c r="F29" s="8">
        <v>2022694</v>
      </c>
      <c r="G29" s="8">
        <v>2269157</v>
      </c>
    </row>
    <row r="30" spans="1:7" x14ac:dyDescent="0.2">
      <c r="A30" s="2"/>
      <c r="B30" s="2"/>
      <c r="C30" s="2"/>
      <c r="D30" s="2"/>
      <c r="E30" s="2"/>
      <c r="F30" s="2"/>
      <c r="G30" s="2"/>
    </row>
    <row r="31" spans="1:7" x14ac:dyDescent="0.2">
      <c r="A31" s="6" t="s">
        <v>69</v>
      </c>
      <c r="B31" s="2"/>
      <c r="C31" s="2"/>
      <c r="D31" s="2"/>
      <c r="E31" s="2"/>
      <c r="F31" s="2"/>
      <c r="G31" s="2"/>
    </row>
    <row r="32" spans="1:7" x14ac:dyDescent="0.2">
      <c r="A32" s="36" t="s">
        <v>70</v>
      </c>
      <c r="B32" s="7">
        <v>373172</v>
      </c>
      <c r="C32" s="7">
        <v>388791</v>
      </c>
      <c r="D32" s="7">
        <v>408407</v>
      </c>
      <c r="E32" s="7">
        <v>453229</v>
      </c>
      <c r="F32" s="7">
        <v>485961</v>
      </c>
      <c r="G32" s="7">
        <v>506949</v>
      </c>
    </row>
    <row r="33" spans="1:8" x14ac:dyDescent="0.2">
      <c r="A33" s="36" t="s">
        <v>71</v>
      </c>
      <c r="B33" s="7" t="s">
        <v>20</v>
      </c>
      <c r="C33" s="7" t="s">
        <v>20</v>
      </c>
      <c r="D33" s="7" t="s">
        <v>20</v>
      </c>
      <c r="E33" s="7">
        <v>45441</v>
      </c>
      <c r="F33" s="7" t="s">
        <v>20</v>
      </c>
      <c r="G33" s="7" t="s">
        <v>20</v>
      </c>
    </row>
    <row r="34" spans="1:8" x14ac:dyDescent="0.2">
      <c r="A34" s="36" t="s">
        <v>72</v>
      </c>
      <c r="B34" s="7">
        <v>32946</v>
      </c>
      <c r="C34" s="7">
        <v>41896</v>
      </c>
      <c r="D34" s="7">
        <v>44097</v>
      </c>
      <c r="E34" s="7" t="s">
        <v>20</v>
      </c>
      <c r="F34" s="7">
        <v>48263</v>
      </c>
      <c r="G34" s="7">
        <v>52478</v>
      </c>
    </row>
    <row r="35" spans="1:8" x14ac:dyDescent="0.2">
      <c r="A35" s="36" t="s">
        <v>73</v>
      </c>
      <c r="B35" s="7">
        <v>37731</v>
      </c>
      <c r="C35" s="7">
        <v>39736</v>
      </c>
      <c r="D35" s="7">
        <v>38667</v>
      </c>
      <c r="E35" s="7">
        <v>57273</v>
      </c>
      <c r="F35" s="7">
        <v>50035</v>
      </c>
      <c r="G35" s="7">
        <v>57627</v>
      </c>
    </row>
    <row r="36" spans="1:8" x14ac:dyDescent="0.2">
      <c r="A36" s="2" t="s">
        <v>74</v>
      </c>
      <c r="B36" s="7">
        <v>65143</v>
      </c>
      <c r="C36" s="7" t="s">
        <v>20</v>
      </c>
      <c r="D36" s="7">
        <v>10608</v>
      </c>
      <c r="E36" s="7">
        <v>8679</v>
      </c>
      <c r="F36" s="7">
        <v>8007</v>
      </c>
      <c r="G36" s="7">
        <v>12286</v>
      </c>
    </row>
    <row r="37" spans="1:8" x14ac:dyDescent="0.2">
      <c r="A37" s="2" t="s">
        <v>75</v>
      </c>
      <c r="B37" s="7">
        <v>19437</v>
      </c>
      <c r="C37" s="7">
        <v>19395</v>
      </c>
      <c r="D37" s="7">
        <v>33715</v>
      </c>
      <c r="E37" s="7">
        <v>20193</v>
      </c>
      <c r="F37" s="7">
        <v>35917</v>
      </c>
      <c r="G37" s="7">
        <v>38675</v>
      </c>
      <c r="H37" s="70"/>
    </row>
    <row r="38" spans="1:8" x14ac:dyDescent="0.2">
      <c r="A38" s="2" t="s">
        <v>76</v>
      </c>
      <c r="B38" s="7">
        <v>8594</v>
      </c>
      <c r="C38" s="7">
        <v>8526</v>
      </c>
      <c r="D38" s="7">
        <v>7491</v>
      </c>
      <c r="E38" s="7">
        <v>7621</v>
      </c>
      <c r="F38" s="7">
        <v>7370</v>
      </c>
      <c r="G38" s="7">
        <v>7930</v>
      </c>
    </row>
    <row r="39" spans="1:8" x14ac:dyDescent="0.2">
      <c r="A39" s="2" t="s">
        <v>77</v>
      </c>
      <c r="B39" s="7">
        <v>7727</v>
      </c>
      <c r="C39" s="7">
        <v>8310</v>
      </c>
      <c r="D39" s="7">
        <v>7243</v>
      </c>
      <c r="E39" s="7" t="s">
        <v>20</v>
      </c>
      <c r="F39" s="7">
        <v>6516</v>
      </c>
      <c r="G39" s="7">
        <v>7265</v>
      </c>
    </row>
    <row r="40" spans="1:8" x14ac:dyDescent="0.2">
      <c r="A40" s="2" t="s">
        <v>78</v>
      </c>
      <c r="B40" s="7" t="s">
        <v>20</v>
      </c>
      <c r="C40" s="7" t="s">
        <v>20</v>
      </c>
      <c r="D40" s="7" t="s">
        <v>20</v>
      </c>
      <c r="E40" s="7">
        <v>9428</v>
      </c>
      <c r="F40" s="7" t="s">
        <v>20</v>
      </c>
      <c r="G40" s="7" t="s">
        <v>20</v>
      </c>
    </row>
    <row r="41" spans="1:8" x14ac:dyDescent="0.2">
      <c r="A41" s="36" t="s">
        <v>79</v>
      </c>
      <c r="B41" s="7">
        <v>23525</v>
      </c>
      <c r="C41" s="7">
        <v>26898</v>
      </c>
      <c r="D41" s="7">
        <v>29228</v>
      </c>
      <c r="E41" s="7">
        <v>32613</v>
      </c>
      <c r="F41" s="7">
        <v>38079</v>
      </c>
      <c r="G41" s="7">
        <v>43061</v>
      </c>
    </row>
    <row r="42" spans="1:8" x14ac:dyDescent="0.2">
      <c r="A42" s="6" t="s">
        <v>80</v>
      </c>
      <c r="B42" s="8">
        <v>568275</v>
      </c>
      <c r="C42" s="8">
        <v>533552</v>
      </c>
      <c r="D42" s="8">
        <v>579456</v>
      </c>
      <c r="E42" s="8">
        <v>634477</v>
      </c>
      <c r="F42" s="8">
        <v>680148</v>
      </c>
      <c r="G42" s="8">
        <v>726271</v>
      </c>
    </row>
    <row r="43" spans="1:8" x14ac:dyDescent="0.2">
      <c r="A43" s="2"/>
      <c r="B43" s="33"/>
      <c r="C43" s="2"/>
      <c r="D43" s="2"/>
      <c r="E43" s="2"/>
      <c r="F43" s="2"/>
      <c r="G43" s="2"/>
    </row>
    <row r="44" spans="1:8" x14ac:dyDescent="0.2">
      <c r="A44" s="6" t="s">
        <v>81</v>
      </c>
      <c r="B44" s="2"/>
      <c r="C44" s="2"/>
      <c r="D44" s="2"/>
      <c r="E44" s="2"/>
      <c r="F44" s="2"/>
      <c r="G44" s="2"/>
    </row>
    <row r="45" spans="1:8" x14ac:dyDescent="0.2">
      <c r="A45" s="2" t="s">
        <v>82</v>
      </c>
      <c r="B45" s="7">
        <v>112610</v>
      </c>
      <c r="C45" s="7">
        <v>110110</v>
      </c>
      <c r="D45" s="7">
        <v>103556</v>
      </c>
      <c r="E45" s="7" t="s">
        <v>20</v>
      </c>
      <c r="F45" s="7">
        <v>94443</v>
      </c>
      <c r="G45" s="7">
        <v>147922</v>
      </c>
    </row>
    <row r="46" spans="1:8" x14ac:dyDescent="0.2">
      <c r="A46" s="2" t="s">
        <v>83</v>
      </c>
      <c r="B46" s="7" t="s">
        <v>20</v>
      </c>
      <c r="C46" s="7" t="s">
        <v>20</v>
      </c>
      <c r="D46" s="7" t="s">
        <v>20</v>
      </c>
      <c r="E46" s="7">
        <v>119487</v>
      </c>
      <c r="F46" s="7" t="s">
        <v>20</v>
      </c>
      <c r="G46" s="7" t="s">
        <v>20</v>
      </c>
    </row>
    <row r="47" spans="1:8" x14ac:dyDescent="0.2">
      <c r="A47" s="2" t="s">
        <v>84</v>
      </c>
      <c r="B47" s="7">
        <v>124181</v>
      </c>
      <c r="C47" s="7">
        <v>129256</v>
      </c>
      <c r="D47" s="7">
        <v>118496</v>
      </c>
      <c r="E47" s="7">
        <v>122195</v>
      </c>
      <c r="F47" s="7">
        <v>103890</v>
      </c>
      <c r="G47" s="7">
        <v>122244</v>
      </c>
    </row>
    <row r="48" spans="1:8" x14ac:dyDescent="0.2">
      <c r="A48" s="2" t="s">
        <v>85</v>
      </c>
      <c r="B48" s="7">
        <v>1713</v>
      </c>
      <c r="C48" s="7">
        <v>1568</v>
      </c>
      <c r="D48" s="7">
        <v>2165</v>
      </c>
      <c r="E48" s="7">
        <v>1936</v>
      </c>
      <c r="F48" s="7">
        <v>1644</v>
      </c>
      <c r="G48" s="7">
        <v>1100</v>
      </c>
    </row>
    <row r="49" spans="1:7" x14ac:dyDescent="0.2">
      <c r="A49" s="2" t="s">
        <v>86</v>
      </c>
      <c r="B49" s="7">
        <v>1013</v>
      </c>
      <c r="C49" s="7">
        <v>869</v>
      </c>
      <c r="D49" s="7" t="s">
        <v>20</v>
      </c>
      <c r="E49" s="7" t="s">
        <v>20</v>
      </c>
      <c r="F49" s="7" t="s">
        <v>20</v>
      </c>
      <c r="G49" s="7" t="s">
        <v>20</v>
      </c>
    </row>
    <row r="50" spans="1:7" x14ac:dyDescent="0.2">
      <c r="A50" s="2" t="s">
        <v>87</v>
      </c>
      <c r="B50" s="7">
        <v>12182</v>
      </c>
      <c r="C50" s="7">
        <v>10930</v>
      </c>
      <c r="D50" s="7">
        <v>8439</v>
      </c>
      <c r="E50" s="7">
        <v>15425</v>
      </c>
      <c r="F50" s="7">
        <v>14842</v>
      </c>
      <c r="G50" s="7">
        <v>19824</v>
      </c>
    </row>
    <row r="51" spans="1:7" x14ac:dyDescent="0.2">
      <c r="A51" s="2" t="s">
        <v>88</v>
      </c>
      <c r="B51" s="7">
        <v>5132</v>
      </c>
      <c r="C51" s="7">
        <v>4160</v>
      </c>
      <c r="D51" s="7">
        <v>5215</v>
      </c>
      <c r="E51" s="7">
        <v>5045</v>
      </c>
      <c r="F51" s="7">
        <v>4762</v>
      </c>
      <c r="G51" s="7">
        <v>4424</v>
      </c>
    </row>
    <row r="52" spans="1:7" x14ac:dyDescent="0.2">
      <c r="A52" s="2"/>
      <c r="B52" s="2"/>
      <c r="C52" s="2"/>
      <c r="D52" s="2"/>
      <c r="E52" s="2"/>
      <c r="F52" s="2"/>
      <c r="G52" s="2"/>
    </row>
    <row r="53" spans="1:7" x14ac:dyDescent="0.2">
      <c r="A53" s="6" t="s">
        <v>89</v>
      </c>
      <c r="B53" s="2"/>
      <c r="C53" s="2"/>
      <c r="D53" s="2"/>
      <c r="E53" s="2"/>
      <c r="F53" s="2"/>
      <c r="G53" s="2"/>
    </row>
    <row r="54" spans="1:7" x14ac:dyDescent="0.2">
      <c r="A54" s="2" t="s">
        <v>90</v>
      </c>
      <c r="B54" s="7">
        <v>3</v>
      </c>
      <c r="C54" s="7">
        <v>3</v>
      </c>
      <c r="D54" s="7">
        <v>3</v>
      </c>
      <c r="E54" s="7">
        <v>3</v>
      </c>
      <c r="F54" s="7">
        <v>3</v>
      </c>
      <c r="G54" s="7">
        <v>3</v>
      </c>
    </row>
    <row r="55" spans="1:7" x14ac:dyDescent="0.2">
      <c r="A55" s="2" t="s">
        <v>91</v>
      </c>
      <c r="B55" s="7">
        <v>454455</v>
      </c>
      <c r="C55" s="7">
        <v>465015</v>
      </c>
      <c r="D55" s="7">
        <v>481406</v>
      </c>
      <c r="E55" s="7">
        <v>497434</v>
      </c>
      <c r="F55" s="7">
        <v>514542</v>
      </c>
      <c r="G55" s="7">
        <v>529354</v>
      </c>
    </row>
    <row r="56" spans="1:7" x14ac:dyDescent="0.2">
      <c r="A56" s="2" t="s">
        <v>92</v>
      </c>
      <c r="B56" s="7">
        <v>-28406</v>
      </c>
      <c r="C56" s="7">
        <v>-26084</v>
      </c>
      <c r="D56" s="7">
        <v>-31644</v>
      </c>
      <c r="E56" s="7">
        <v>-43961</v>
      </c>
      <c r="F56" s="7">
        <v>-117262</v>
      </c>
      <c r="G56" s="7">
        <v>-119972</v>
      </c>
    </row>
    <row r="57" spans="1:7" x14ac:dyDescent="0.2">
      <c r="A57" s="2" t="s">
        <v>93</v>
      </c>
      <c r="B57" s="7" t="s">
        <v>20</v>
      </c>
      <c r="C57" s="7" t="s">
        <v>20</v>
      </c>
      <c r="D57" s="7" t="s">
        <v>20</v>
      </c>
      <c r="E57" s="7">
        <v>817559</v>
      </c>
      <c r="F57" s="7" t="s">
        <v>20</v>
      </c>
      <c r="G57" s="7" t="s">
        <v>20</v>
      </c>
    </row>
    <row r="58" spans="1:7" x14ac:dyDescent="0.2">
      <c r="A58" s="2" t="s">
        <v>94</v>
      </c>
      <c r="B58" s="7">
        <v>582487</v>
      </c>
      <c r="C58" s="7">
        <v>658919</v>
      </c>
      <c r="D58" s="7">
        <v>736894</v>
      </c>
      <c r="E58" s="7" t="s">
        <v>20</v>
      </c>
      <c r="F58" s="7">
        <v>890272</v>
      </c>
      <c r="G58" s="7">
        <v>999426</v>
      </c>
    </row>
    <row r="59" spans="1:7" x14ac:dyDescent="0.2">
      <c r="A59" s="2" t="s">
        <v>95</v>
      </c>
      <c r="B59" s="7" t="s">
        <v>20</v>
      </c>
      <c r="C59" s="7" t="s">
        <v>20</v>
      </c>
      <c r="D59" s="7" t="s">
        <v>20</v>
      </c>
      <c r="E59" s="7">
        <v>-163992</v>
      </c>
      <c r="F59" s="7" t="s">
        <v>20</v>
      </c>
      <c r="G59" s="7" t="s">
        <v>20</v>
      </c>
    </row>
    <row r="60" spans="1:7" x14ac:dyDescent="0.2">
      <c r="A60" s="2" t="s">
        <v>96</v>
      </c>
      <c r="B60" s="7">
        <v>-176820</v>
      </c>
      <c r="C60" s="7">
        <v>-182508</v>
      </c>
      <c r="D60" s="7">
        <v>-195586</v>
      </c>
      <c r="E60" s="7" t="s">
        <v>20</v>
      </c>
      <c r="F60" s="7">
        <v>-164590</v>
      </c>
      <c r="G60" s="7">
        <v>-161439</v>
      </c>
    </row>
    <row r="61" spans="1:7" x14ac:dyDescent="0.2">
      <c r="A61" s="6" t="s">
        <v>97</v>
      </c>
      <c r="B61" s="8">
        <v>831719</v>
      </c>
      <c r="C61" s="8">
        <v>915345</v>
      </c>
      <c r="D61" s="8">
        <v>991073</v>
      </c>
      <c r="E61" s="8">
        <v>1107043</v>
      </c>
      <c r="F61" s="8">
        <v>1122965</v>
      </c>
      <c r="G61" s="8">
        <v>1247372</v>
      </c>
    </row>
    <row r="62" spans="1:7" x14ac:dyDescent="0.2">
      <c r="A62" s="6" t="s">
        <v>98</v>
      </c>
      <c r="B62" s="8">
        <v>1656825</v>
      </c>
      <c r="C62" s="8">
        <v>1705790</v>
      </c>
      <c r="D62" s="8">
        <v>1808400</v>
      </c>
      <c r="E62" s="8">
        <v>2005608</v>
      </c>
      <c r="F62" s="8">
        <v>2022694</v>
      </c>
      <c r="G62" s="8">
        <v>2269157</v>
      </c>
    </row>
    <row r="63" spans="1:7" x14ac:dyDescent="0.2">
      <c r="A63" s="10"/>
      <c r="B63" s="10"/>
      <c r="C63" s="10"/>
      <c r="D63" s="10"/>
      <c r="E63" s="10"/>
      <c r="F63" s="10"/>
      <c r="G63" s="10"/>
    </row>
    <row r="64" spans="1:7" x14ac:dyDescent="0.2">
      <c r="A64" s="1" t="s">
        <v>99</v>
      </c>
    </row>
    <row r="65" spans="1:1" x14ac:dyDescent="0.2">
      <c r="A65" s="11" t="s">
        <v>43</v>
      </c>
    </row>
    <row r="1048576" spans="16384:16384" ht="13.2" x14ac:dyDescent="0.25">
      <c r="XFD1048576" s="307" t="s">
        <v>459</v>
      </c>
    </row>
  </sheetData>
  <pageMargins left="0.2" right="0.2" top="0.5" bottom="0.5" header="0.5" footer="0.5"/>
  <pageSetup fitToWidth="0" fitToHeight="0" orientation="landscape" horizontalDpi="0" verticalDpi="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E0C2CD-DB45-47D8-891C-F64F7F9AA9C2}">
  <sheetPr codeName="Sheet3">
    <outlinePr summaryBelow="0" summaryRight="0"/>
    <pageSetUpPr autoPageBreaks="0"/>
  </sheetPr>
  <dimension ref="A2:XFD1048576"/>
  <sheetViews>
    <sheetView showGridLines="0" zoomScaleNormal="100" workbookViewId="0"/>
  </sheetViews>
  <sheetFormatPr defaultRowHeight="10.199999999999999" x14ac:dyDescent="0.2"/>
  <cols>
    <col min="1" max="1" width="45.77734375" style="1" customWidth="1"/>
    <col min="2" max="7" width="14.77734375" style="1" customWidth="1"/>
    <col min="8" max="256" width="8.88671875" style="1"/>
    <col min="257" max="257" width="45.77734375" style="1" customWidth="1"/>
    <col min="258" max="263" width="14.77734375" style="1" customWidth="1"/>
    <col min="264" max="512" width="8.88671875" style="1"/>
    <col min="513" max="513" width="45.77734375" style="1" customWidth="1"/>
    <col min="514" max="519" width="14.77734375" style="1" customWidth="1"/>
    <col min="520" max="768" width="8.88671875" style="1"/>
    <col min="769" max="769" width="45.77734375" style="1" customWidth="1"/>
    <col min="770" max="775" width="14.77734375" style="1" customWidth="1"/>
    <col min="776" max="1024" width="8.88671875" style="1"/>
    <col min="1025" max="1025" width="45.77734375" style="1" customWidth="1"/>
    <col min="1026" max="1031" width="14.77734375" style="1" customWidth="1"/>
    <col min="1032" max="1280" width="8.88671875" style="1"/>
    <col min="1281" max="1281" width="45.77734375" style="1" customWidth="1"/>
    <col min="1282" max="1287" width="14.77734375" style="1" customWidth="1"/>
    <col min="1288" max="1536" width="8.88671875" style="1"/>
    <col min="1537" max="1537" width="45.77734375" style="1" customWidth="1"/>
    <col min="1538" max="1543" width="14.77734375" style="1" customWidth="1"/>
    <col min="1544" max="1792" width="8.88671875" style="1"/>
    <col min="1793" max="1793" width="45.77734375" style="1" customWidth="1"/>
    <col min="1794" max="1799" width="14.77734375" style="1" customWidth="1"/>
    <col min="1800" max="2048" width="8.88671875" style="1"/>
    <col min="2049" max="2049" width="45.77734375" style="1" customWidth="1"/>
    <col min="2050" max="2055" width="14.77734375" style="1" customWidth="1"/>
    <col min="2056" max="2304" width="8.88671875" style="1"/>
    <col min="2305" max="2305" width="45.77734375" style="1" customWidth="1"/>
    <col min="2306" max="2311" width="14.77734375" style="1" customWidth="1"/>
    <col min="2312" max="2560" width="8.88671875" style="1"/>
    <col min="2561" max="2561" width="45.77734375" style="1" customWidth="1"/>
    <col min="2562" max="2567" width="14.77734375" style="1" customWidth="1"/>
    <col min="2568" max="2816" width="8.88671875" style="1"/>
    <col min="2817" max="2817" width="45.77734375" style="1" customWidth="1"/>
    <col min="2818" max="2823" width="14.77734375" style="1" customWidth="1"/>
    <col min="2824" max="3072" width="8.88671875" style="1"/>
    <col min="3073" max="3073" width="45.77734375" style="1" customWidth="1"/>
    <col min="3074" max="3079" width="14.77734375" style="1" customWidth="1"/>
    <col min="3080" max="3328" width="8.88671875" style="1"/>
    <col min="3329" max="3329" width="45.77734375" style="1" customWidth="1"/>
    <col min="3330" max="3335" width="14.77734375" style="1" customWidth="1"/>
    <col min="3336" max="3584" width="8.88671875" style="1"/>
    <col min="3585" max="3585" width="45.77734375" style="1" customWidth="1"/>
    <col min="3586" max="3591" width="14.77734375" style="1" customWidth="1"/>
    <col min="3592" max="3840" width="8.88671875" style="1"/>
    <col min="3841" max="3841" width="45.77734375" style="1" customWidth="1"/>
    <col min="3842" max="3847" width="14.77734375" style="1" customWidth="1"/>
    <col min="3848" max="4096" width="8.88671875" style="1"/>
    <col min="4097" max="4097" width="45.77734375" style="1" customWidth="1"/>
    <col min="4098" max="4103" width="14.77734375" style="1" customWidth="1"/>
    <col min="4104" max="4352" width="8.88671875" style="1"/>
    <col min="4353" max="4353" width="45.77734375" style="1" customWidth="1"/>
    <col min="4354" max="4359" width="14.77734375" style="1" customWidth="1"/>
    <col min="4360" max="4608" width="8.88671875" style="1"/>
    <col min="4609" max="4609" width="45.77734375" style="1" customWidth="1"/>
    <col min="4610" max="4615" width="14.77734375" style="1" customWidth="1"/>
    <col min="4616" max="4864" width="8.88671875" style="1"/>
    <col min="4865" max="4865" width="45.77734375" style="1" customWidth="1"/>
    <col min="4866" max="4871" width="14.77734375" style="1" customWidth="1"/>
    <col min="4872" max="5120" width="8.88671875" style="1"/>
    <col min="5121" max="5121" width="45.77734375" style="1" customWidth="1"/>
    <col min="5122" max="5127" width="14.77734375" style="1" customWidth="1"/>
    <col min="5128" max="5376" width="8.88671875" style="1"/>
    <col min="5377" max="5377" width="45.77734375" style="1" customWidth="1"/>
    <col min="5378" max="5383" width="14.77734375" style="1" customWidth="1"/>
    <col min="5384" max="5632" width="8.88671875" style="1"/>
    <col min="5633" max="5633" width="45.77734375" style="1" customWidth="1"/>
    <col min="5634" max="5639" width="14.77734375" style="1" customWidth="1"/>
    <col min="5640" max="5888" width="8.88671875" style="1"/>
    <col min="5889" max="5889" width="45.77734375" style="1" customWidth="1"/>
    <col min="5890" max="5895" width="14.77734375" style="1" customWidth="1"/>
    <col min="5896" max="6144" width="8.88671875" style="1"/>
    <col min="6145" max="6145" width="45.77734375" style="1" customWidth="1"/>
    <col min="6146" max="6151" width="14.77734375" style="1" customWidth="1"/>
    <col min="6152" max="6400" width="8.88671875" style="1"/>
    <col min="6401" max="6401" width="45.77734375" style="1" customWidth="1"/>
    <col min="6402" max="6407" width="14.77734375" style="1" customWidth="1"/>
    <col min="6408" max="6656" width="8.88671875" style="1"/>
    <col min="6657" max="6657" width="45.77734375" style="1" customWidth="1"/>
    <col min="6658" max="6663" width="14.77734375" style="1" customWidth="1"/>
    <col min="6664" max="6912" width="8.88671875" style="1"/>
    <col min="6913" max="6913" width="45.77734375" style="1" customWidth="1"/>
    <col min="6914" max="6919" width="14.77734375" style="1" customWidth="1"/>
    <col min="6920" max="7168" width="8.88671875" style="1"/>
    <col min="7169" max="7169" width="45.77734375" style="1" customWidth="1"/>
    <col min="7170" max="7175" width="14.77734375" style="1" customWidth="1"/>
    <col min="7176" max="7424" width="8.88671875" style="1"/>
    <col min="7425" max="7425" width="45.77734375" style="1" customWidth="1"/>
    <col min="7426" max="7431" width="14.77734375" style="1" customWidth="1"/>
    <col min="7432" max="7680" width="8.88671875" style="1"/>
    <col min="7681" max="7681" width="45.77734375" style="1" customWidth="1"/>
    <col min="7682" max="7687" width="14.77734375" style="1" customWidth="1"/>
    <col min="7688" max="7936" width="8.88671875" style="1"/>
    <col min="7937" max="7937" width="45.77734375" style="1" customWidth="1"/>
    <col min="7938" max="7943" width="14.77734375" style="1" customWidth="1"/>
    <col min="7944" max="8192" width="8.88671875" style="1"/>
    <col min="8193" max="8193" width="45.77734375" style="1" customWidth="1"/>
    <col min="8194" max="8199" width="14.77734375" style="1" customWidth="1"/>
    <col min="8200" max="8448" width="8.88671875" style="1"/>
    <col min="8449" max="8449" width="45.77734375" style="1" customWidth="1"/>
    <col min="8450" max="8455" width="14.77734375" style="1" customWidth="1"/>
    <col min="8456" max="8704" width="8.88671875" style="1"/>
    <col min="8705" max="8705" width="45.77734375" style="1" customWidth="1"/>
    <col min="8706" max="8711" width="14.77734375" style="1" customWidth="1"/>
    <col min="8712" max="8960" width="8.88671875" style="1"/>
    <col min="8961" max="8961" width="45.77734375" style="1" customWidth="1"/>
    <col min="8962" max="8967" width="14.77734375" style="1" customWidth="1"/>
    <col min="8968" max="9216" width="8.88671875" style="1"/>
    <col min="9217" max="9217" width="45.77734375" style="1" customWidth="1"/>
    <col min="9218" max="9223" width="14.77734375" style="1" customWidth="1"/>
    <col min="9224" max="9472" width="8.88671875" style="1"/>
    <col min="9473" max="9473" width="45.77734375" style="1" customWidth="1"/>
    <col min="9474" max="9479" width="14.77734375" style="1" customWidth="1"/>
    <col min="9480" max="9728" width="8.88671875" style="1"/>
    <col min="9729" max="9729" width="45.77734375" style="1" customWidth="1"/>
    <col min="9730" max="9735" width="14.77734375" style="1" customWidth="1"/>
    <col min="9736" max="9984" width="8.88671875" style="1"/>
    <col min="9985" max="9985" width="45.77734375" style="1" customWidth="1"/>
    <col min="9986" max="9991" width="14.77734375" style="1" customWidth="1"/>
    <col min="9992" max="10240" width="8.88671875" style="1"/>
    <col min="10241" max="10241" width="45.77734375" style="1" customWidth="1"/>
    <col min="10242" max="10247" width="14.77734375" style="1" customWidth="1"/>
    <col min="10248" max="10496" width="8.88671875" style="1"/>
    <col min="10497" max="10497" width="45.77734375" style="1" customWidth="1"/>
    <col min="10498" max="10503" width="14.77734375" style="1" customWidth="1"/>
    <col min="10504" max="10752" width="8.88671875" style="1"/>
    <col min="10753" max="10753" width="45.77734375" style="1" customWidth="1"/>
    <col min="10754" max="10759" width="14.77734375" style="1" customWidth="1"/>
    <col min="10760" max="11008" width="8.88671875" style="1"/>
    <col min="11009" max="11009" width="45.77734375" style="1" customWidth="1"/>
    <col min="11010" max="11015" width="14.77734375" style="1" customWidth="1"/>
    <col min="11016" max="11264" width="8.88671875" style="1"/>
    <col min="11265" max="11265" width="45.77734375" style="1" customWidth="1"/>
    <col min="11266" max="11271" width="14.77734375" style="1" customWidth="1"/>
    <col min="11272" max="11520" width="8.88671875" style="1"/>
    <col min="11521" max="11521" width="45.77734375" style="1" customWidth="1"/>
    <col min="11522" max="11527" width="14.77734375" style="1" customWidth="1"/>
    <col min="11528" max="11776" width="8.88671875" style="1"/>
    <col min="11777" max="11777" width="45.77734375" style="1" customWidth="1"/>
    <col min="11778" max="11783" width="14.77734375" style="1" customWidth="1"/>
    <col min="11784" max="12032" width="8.88671875" style="1"/>
    <col min="12033" max="12033" width="45.77734375" style="1" customWidth="1"/>
    <col min="12034" max="12039" width="14.77734375" style="1" customWidth="1"/>
    <col min="12040" max="12288" width="8.88671875" style="1"/>
    <col min="12289" max="12289" width="45.77734375" style="1" customWidth="1"/>
    <col min="12290" max="12295" width="14.77734375" style="1" customWidth="1"/>
    <col min="12296" max="12544" width="8.88671875" style="1"/>
    <col min="12545" max="12545" width="45.77734375" style="1" customWidth="1"/>
    <col min="12546" max="12551" width="14.77734375" style="1" customWidth="1"/>
    <col min="12552" max="12800" width="8.88671875" style="1"/>
    <col min="12801" max="12801" width="45.77734375" style="1" customWidth="1"/>
    <col min="12802" max="12807" width="14.77734375" style="1" customWidth="1"/>
    <col min="12808" max="13056" width="8.88671875" style="1"/>
    <col min="13057" max="13057" width="45.77734375" style="1" customWidth="1"/>
    <col min="13058" max="13063" width="14.77734375" style="1" customWidth="1"/>
    <col min="13064" max="13312" width="8.88671875" style="1"/>
    <col min="13313" max="13313" width="45.77734375" style="1" customWidth="1"/>
    <col min="13314" max="13319" width="14.77734375" style="1" customWidth="1"/>
    <col min="13320" max="13568" width="8.88671875" style="1"/>
    <col min="13569" max="13569" width="45.77734375" style="1" customWidth="1"/>
    <col min="13570" max="13575" width="14.77734375" style="1" customWidth="1"/>
    <col min="13576" max="13824" width="8.88671875" style="1"/>
    <col min="13825" max="13825" width="45.77734375" style="1" customWidth="1"/>
    <col min="13826" max="13831" width="14.77734375" style="1" customWidth="1"/>
    <col min="13832" max="14080" width="8.88671875" style="1"/>
    <col min="14081" max="14081" width="45.77734375" style="1" customWidth="1"/>
    <col min="14082" max="14087" width="14.77734375" style="1" customWidth="1"/>
    <col min="14088" max="14336" width="8.88671875" style="1"/>
    <col min="14337" max="14337" width="45.77734375" style="1" customWidth="1"/>
    <col min="14338" max="14343" width="14.77734375" style="1" customWidth="1"/>
    <col min="14344" max="14592" width="8.88671875" style="1"/>
    <col min="14593" max="14593" width="45.77734375" style="1" customWidth="1"/>
    <col min="14594" max="14599" width="14.77734375" style="1" customWidth="1"/>
    <col min="14600" max="14848" width="8.88671875" style="1"/>
    <col min="14849" max="14849" width="45.77734375" style="1" customWidth="1"/>
    <col min="14850" max="14855" width="14.77734375" style="1" customWidth="1"/>
    <col min="14856" max="15104" width="8.88671875" style="1"/>
    <col min="15105" max="15105" width="45.77734375" style="1" customWidth="1"/>
    <col min="15106" max="15111" width="14.77734375" style="1" customWidth="1"/>
    <col min="15112" max="15360" width="8.88671875" style="1"/>
    <col min="15361" max="15361" width="45.77734375" style="1" customWidth="1"/>
    <col min="15362" max="15367" width="14.77734375" style="1" customWidth="1"/>
    <col min="15368" max="15616" width="8.88671875" style="1"/>
    <col min="15617" max="15617" width="45.77734375" style="1" customWidth="1"/>
    <col min="15618" max="15623" width="14.77734375" style="1" customWidth="1"/>
    <col min="15624" max="15872" width="8.88671875" style="1"/>
    <col min="15873" max="15873" width="45.77734375" style="1" customWidth="1"/>
    <col min="15874" max="15879" width="14.77734375" style="1" customWidth="1"/>
    <col min="15880" max="16128" width="8.88671875" style="1"/>
    <col min="16129" max="16129" width="45.77734375" style="1" customWidth="1"/>
    <col min="16130" max="16135" width="14.77734375" style="1" customWidth="1"/>
    <col min="16136" max="16384" width="8.88671875" style="1"/>
  </cols>
  <sheetData>
    <row r="2" spans="1:255" x14ac:dyDescent="0.2">
      <c r="A2" s="4" t="s">
        <v>100</v>
      </c>
      <c r="B2" s="4"/>
      <c r="C2" s="4"/>
      <c r="D2" s="4"/>
      <c r="E2" s="4"/>
      <c r="F2" s="4"/>
      <c r="G2" s="4"/>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row>
    <row r="3" spans="1:255" ht="20.399999999999999" x14ac:dyDescent="0.2">
      <c r="A3" s="303" t="s">
        <v>1</v>
      </c>
      <c r="B3" s="304" t="s">
        <v>2</v>
      </c>
      <c r="C3" s="304" t="s">
        <v>3</v>
      </c>
      <c r="D3" s="304" t="s">
        <v>4</v>
      </c>
      <c r="E3" s="304" t="s">
        <v>5</v>
      </c>
      <c r="F3" s="304" t="s">
        <v>6</v>
      </c>
      <c r="G3" s="304" t="s">
        <v>7</v>
      </c>
    </row>
    <row r="4" spans="1:255" x14ac:dyDescent="0.2">
      <c r="A4" s="305" t="s">
        <v>8</v>
      </c>
      <c r="B4" s="306" t="s">
        <v>9</v>
      </c>
      <c r="C4" s="306" t="s">
        <v>9</v>
      </c>
      <c r="D4" s="306" t="s">
        <v>9</v>
      </c>
      <c r="E4" s="306" t="s">
        <v>9</v>
      </c>
      <c r="F4" s="306" t="s">
        <v>9</v>
      </c>
      <c r="G4" s="306" t="s">
        <v>9</v>
      </c>
    </row>
    <row r="5" spans="1:255" x14ac:dyDescent="0.2">
      <c r="A5" s="303" t="s">
        <v>10</v>
      </c>
      <c r="B5" s="304" t="s">
        <v>11</v>
      </c>
      <c r="C5" s="304" t="s">
        <v>11</v>
      </c>
      <c r="D5" s="304" t="s">
        <v>11</v>
      </c>
      <c r="E5" s="304" t="s">
        <v>11</v>
      </c>
      <c r="F5" s="304" t="s">
        <v>11</v>
      </c>
      <c r="G5" s="304" t="s">
        <v>11</v>
      </c>
    </row>
    <row r="6" spans="1:255" x14ac:dyDescent="0.2">
      <c r="A6" s="6" t="s">
        <v>101</v>
      </c>
      <c r="B6" s="2"/>
      <c r="C6" s="2"/>
      <c r="D6" s="2"/>
      <c r="E6" s="2"/>
      <c r="F6" s="2"/>
      <c r="G6" s="2"/>
    </row>
    <row r="7" spans="1:255" x14ac:dyDescent="0.2">
      <c r="A7" s="210" t="s">
        <v>102</v>
      </c>
      <c r="B7" s="7">
        <v>78181</v>
      </c>
      <c r="C7" s="7">
        <v>98159</v>
      </c>
      <c r="D7" s="7">
        <v>104553</v>
      </c>
      <c r="E7" s="7">
        <v>109205</v>
      </c>
      <c r="F7" s="7">
        <v>138875</v>
      </c>
      <c r="G7" s="7">
        <v>147887</v>
      </c>
    </row>
    <row r="8" spans="1:255" x14ac:dyDescent="0.2">
      <c r="A8" s="2" t="s">
        <v>103</v>
      </c>
      <c r="B8" s="7">
        <v>61225</v>
      </c>
      <c r="C8" s="7">
        <v>64983</v>
      </c>
      <c r="D8" s="7">
        <v>67868</v>
      </c>
      <c r="E8" s="7">
        <v>72698</v>
      </c>
      <c r="F8" s="7">
        <v>82611</v>
      </c>
      <c r="G8" s="7">
        <v>88161</v>
      </c>
    </row>
    <row r="9" spans="1:255" x14ac:dyDescent="0.2">
      <c r="A9" s="2" t="s">
        <v>104</v>
      </c>
      <c r="B9" s="7">
        <v>443</v>
      </c>
      <c r="C9" s="7">
        <v>1027</v>
      </c>
      <c r="D9" s="7">
        <v>1265</v>
      </c>
      <c r="E9" s="7">
        <v>744</v>
      </c>
      <c r="F9" s="7">
        <v>2168</v>
      </c>
      <c r="G9" s="7">
        <v>2467</v>
      </c>
    </row>
    <row r="10" spans="1:255" x14ac:dyDescent="0.2">
      <c r="A10" s="2" t="s">
        <v>24</v>
      </c>
      <c r="B10" s="7" t="s">
        <v>20</v>
      </c>
      <c r="C10" s="7" t="s">
        <v>20</v>
      </c>
      <c r="D10" s="7" t="s">
        <v>20</v>
      </c>
      <c r="E10" s="7">
        <v>5658</v>
      </c>
      <c r="F10" s="7" t="s">
        <v>20</v>
      </c>
      <c r="G10" s="7" t="s">
        <v>20</v>
      </c>
    </row>
    <row r="11" spans="1:255" x14ac:dyDescent="0.2">
      <c r="A11" s="2" t="s">
        <v>105</v>
      </c>
      <c r="B11" s="7">
        <v>95</v>
      </c>
      <c r="C11" s="7">
        <v>58</v>
      </c>
      <c r="D11" s="7">
        <v>10</v>
      </c>
      <c r="E11" s="7">
        <v>55</v>
      </c>
      <c r="F11" s="7">
        <v>-66</v>
      </c>
      <c r="G11" s="7">
        <v>-6</v>
      </c>
    </row>
    <row r="12" spans="1:255" x14ac:dyDescent="0.2">
      <c r="A12" s="2" t="s">
        <v>106</v>
      </c>
      <c r="B12" s="7">
        <v>13817</v>
      </c>
      <c r="C12" s="7">
        <v>18424</v>
      </c>
      <c r="D12" s="7">
        <v>16803</v>
      </c>
      <c r="E12" s="7">
        <v>16574</v>
      </c>
      <c r="F12" s="7">
        <v>17293</v>
      </c>
      <c r="G12" s="7">
        <v>18812</v>
      </c>
    </row>
    <row r="13" spans="1:255" x14ac:dyDescent="0.2">
      <c r="A13" s="2" t="s">
        <v>107</v>
      </c>
      <c r="B13" s="7">
        <v>3</v>
      </c>
      <c r="C13" s="7">
        <v>-53</v>
      </c>
      <c r="D13" s="7">
        <v>63</v>
      </c>
      <c r="E13" s="7">
        <v>-36</v>
      </c>
      <c r="F13" s="7">
        <v>-15</v>
      </c>
      <c r="G13" s="7">
        <v>-50</v>
      </c>
    </row>
    <row r="14" spans="1:255" x14ac:dyDescent="0.2">
      <c r="A14" s="2" t="s">
        <v>60</v>
      </c>
      <c r="B14" s="7">
        <v>-3405</v>
      </c>
      <c r="C14" s="7">
        <v>-3853</v>
      </c>
      <c r="D14" s="7">
        <v>-3300</v>
      </c>
      <c r="E14" s="7">
        <v>-5583</v>
      </c>
      <c r="F14" s="7">
        <v>-4619</v>
      </c>
      <c r="G14" s="7">
        <v>-4400</v>
      </c>
    </row>
    <row r="15" spans="1:255" x14ac:dyDescent="0.2">
      <c r="A15" s="2" t="s">
        <v>27</v>
      </c>
      <c r="B15" s="7" t="s">
        <v>20</v>
      </c>
      <c r="C15" s="7" t="s">
        <v>20</v>
      </c>
      <c r="D15" s="7" t="s">
        <v>20</v>
      </c>
      <c r="E15" s="7">
        <v>7179</v>
      </c>
      <c r="F15" s="7" t="s">
        <v>20</v>
      </c>
      <c r="G15" s="7" t="s">
        <v>20</v>
      </c>
    </row>
    <row r="16" spans="1:255" x14ac:dyDescent="0.2">
      <c r="A16" s="2" t="s">
        <v>108</v>
      </c>
      <c r="B16" s="7">
        <v>-3040</v>
      </c>
      <c r="C16" s="7">
        <v>13097</v>
      </c>
      <c r="D16" s="7">
        <v>-13785</v>
      </c>
      <c r="E16" s="7">
        <v>17589</v>
      </c>
      <c r="F16" s="7">
        <v>-3879</v>
      </c>
      <c r="G16" s="7">
        <v>15497</v>
      </c>
    </row>
    <row r="17" spans="1:7" x14ac:dyDescent="0.2">
      <c r="A17" s="2" t="s">
        <v>109</v>
      </c>
      <c r="B17" s="7">
        <v>21764</v>
      </c>
      <c r="C17" s="7">
        <v>-80202</v>
      </c>
      <c r="D17" s="7">
        <v>-74706</v>
      </c>
      <c r="E17" s="7">
        <v>-10173</v>
      </c>
      <c r="F17" s="7">
        <v>-57271</v>
      </c>
      <c r="G17" s="7">
        <v>-32052</v>
      </c>
    </row>
    <row r="18" spans="1:7" x14ac:dyDescent="0.2">
      <c r="A18" s="2" t="s">
        <v>70</v>
      </c>
      <c r="B18" s="7">
        <v>90185</v>
      </c>
      <c r="C18" s="7">
        <v>15526</v>
      </c>
      <c r="D18" s="7">
        <v>23058</v>
      </c>
      <c r="E18" s="7">
        <v>43421</v>
      </c>
      <c r="F18" s="7">
        <v>32492</v>
      </c>
      <c r="G18" s="7">
        <v>24991</v>
      </c>
    </row>
    <row r="19" spans="1:7" x14ac:dyDescent="0.2">
      <c r="A19" s="6" t="s">
        <v>110</v>
      </c>
      <c r="B19" s="8">
        <v>259268</v>
      </c>
      <c r="C19" s="8">
        <v>127166</v>
      </c>
      <c r="D19" s="8">
        <v>121829</v>
      </c>
      <c r="E19" s="8">
        <v>257331</v>
      </c>
      <c r="F19" s="8">
        <v>207589</v>
      </c>
      <c r="G19" s="8">
        <v>261307</v>
      </c>
    </row>
    <row r="20" spans="1:7" x14ac:dyDescent="0.2">
      <c r="A20" s="2"/>
      <c r="B20" s="2"/>
      <c r="C20" s="184"/>
      <c r="D20" s="2"/>
      <c r="E20" s="2"/>
      <c r="F20" s="2"/>
      <c r="G20" s="2"/>
    </row>
    <row r="21" spans="1:7" x14ac:dyDescent="0.2">
      <c r="A21" s="6" t="s">
        <v>111</v>
      </c>
      <c r="B21" s="2"/>
      <c r="C21" s="2"/>
      <c r="D21" s="2"/>
      <c r="E21" s="2"/>
      <c r="F21" s="2"/>
      <c r="G21" s="2"/>
    </row>
    <row r="22" spans="1:7" x14ac:dyDescent="0.2">
      <c r="A22" s="2" t="s">
        <v>112</v>
      </c>
      <c r="B22" s="7">
        <v>-100320</v>
      </c>
      <c r="C22" s="7">
        <v>-113174</v>
      </c>
      <c r="D22" s="7">
        <v>-120660</v>
      </c>
      <c r="E22" s="7">
        <v>-142511</v>
      </c>
      <c r="F22" s="7">
        <v>-168545</v>
      </c>
      <c r="G22" s="7">
        <v>-158134</v>
      </c>
    </row>
    <row r="23" spans="1:7" x14ac:dyDescent="0.2">
      <c r="A23" s="2" t="s">
        <v>113</v>
      </c>
      <c r="B23" s="7">
        <v>40</v>
      </c>
      <c r="C23" s="7">
        <v>385</v>
      </c>
      <c r="D23" s="7">
        <v>193</v>
      </c>
      <c r="E23" s="7">
        <v>361</v>
      </c>
      <c r="F23" s="7">
        <v>1660</v>
      </c>
      <c r="G23" s="7">
        <v>2403</v>
      </c>
    </row>
    <row r="24" spans="1:7" x14ac:dyDescent="0.2">
      <c r="A24" s="2" t="s">
        <v>114</v>
      </c>
      <c r="B24" s="7" t="s">
        <v>20</v>
      </c>
      <c r="C24" s="7" t="s">
        <v>20</v>
      </c>
      <c r="D24" s="7">
        <v>4959</v>
      </c>
      <c r="E24" s="7" t="s">
        <v>20</v>
      </c>
      <c r="F24" s="7" t="s">
        <v>20</v>
      </c>
      <c r="G24" s="7" t="s">
        <v>20</v>
      </c>
    </row>
    <row r="25" spans="1:7" x14ac:dyDescent="0.2">
      <c r="A25" s="2" t="s">
        <v>115</v>
      </c>
      <c r="B25" s="7">
        <v>-49629</v>
      </c>
      <c r="C25" s="7">
        <v>-69460</v>
      </c>
      <c r="D25" s="7">
        <v>-22469</v>
      </c>
      <c r="E25" s="7">
        <v>-138784</v>
      </c>
      <c r="F25" s="7">
        <v>-183692</v>
      </c>
      <c r="G25" s="7">
        <v>-79563</v>
      </c>
    </row>
    <row r="26" spans="1:7" x14ac:dyDescent="0.2">
      <c r="A26" s="2" t="s">
        <v>116</v>
      </c>
      <c r="B26" s="7">
        <v>20182</v>
      </c>
      <c r="C26" s="7">
        <v>65528</v>
      </c>
      <c r="D26" s="7">
        <v>61733</v>
      </c>
      <c r="E26" s="7">
        <v>58852</v>
      </c>
      <c r="F26" s="7">
        <v>175127</v>
      </c>
      <c r="G26" s="7">
        <v>106413</v>
      </c>
    </row>
    <row r="27" spans="1:7" x14ac:dyDescent="0.2">
      <c r="A27" s="2" t="s">
        <v>117</v>
      </c>
      <c r="B27" s="7">
        <v>-1485</v>
      </c>
      <c r="C27" s="7">
        <v>-1478</v>
      </c>
      <c r="D27" s="7" t="s">
        <v>20</v>
      </c>
      <c r="E27" s="7" t="s">
        <v>20</v>
      </c>
      <c r="F27" s="7" t="s">
        <v>20</v>
      </c>
      <c r="G27" s="7" t="s">
        <v>20</v>
      </c>
    </row>
    <row r="28" spans="1:7" x14ac:dyDescent="0.2">
      <c r="A28" s="2" t="s">
        <v>118</v>
      </c>
      <c r="B28" s="7" t="s">
        <v>20</v>
      </c>
      <c r="C28" s="7">
        <v>1478</v>
      </c>
      <c r="D28" s="7">
        <v>1488</v>
      </c>
      <c r="E28" s="7" t="s">
        <v>20</v>
      </c>
      <c r="F28" s="7" t="s">
        <v>20</v>
      </c>
      <c r="G28" s="7" t="s">
        <v>20</v>
      </c>
    </row>
    <row r="29" spans="1:7" x14ac:dyDescent="0.2">
      <c r="A29" s="6" t="s">
        <v>119</v>
      </c>
      <c r="B29" s="8">
        <v>-131212</v>
      </c>
      <c r="C29" s="8">
        <v>-116721</v>
      </c>
      <c r="D29" s="8">
        <v>-74756</v>
      </c>
      <c r="E29" s="8">
        <v>-222082</v>
      </c>
      <c r="F29" s="8">
        <v>-175450</v>
      </c>
      <c r="G29" s="8">
        <v>-128881</v>
      </c>
    </row>
    <row r="30" spans="1:7" x14ac:dyDescent="0.2">
      <c r="A30" s="2"/>
      <c r="B30" s="2"/>
      <c r="C30" s="2"/>
      <c r="D30" s="2"/>
      <c r="E30" s="2"/>
      <c r="F30" s="2"/>
      <c r="G30" s="2"/>
    </row>
    <row r="31" spans="1:7" x14ac:dyDescent="0.2">
      <c r="A31" s="6" t="s">
        <v>120</v>
      </c>
      <c r="B31" s="2"/>
      <c r="C31" s="2"/>
      <c r="D31" s="2"/>
      <c r="E31" s="2"/>
      <c r="F31" s="2"/>
      <c r="G31" s="2"/>
    </row>
    <row r="32" spans="1:7" x14ac:dyDescent="0.2">
      <c r="A32" s="2" t="s">
        <v>121</v>
      </c>
      <c r="B32" s="7">
        <v>57882</v>
      </c>
      <c r="C32" s="7">
        <v>17565</v>
      </c>
      <c r="D32" s="7">
        <v>30633</v>
      </c>
      <c r="E32" s="7">
        <v>38713</v>
      </c>
      <c r="F32" s="7">
        <v>16500</v>
      </c>
      <c r="G32" s="7">
        <v>92930</v>
      </c>
    </row>
    <row r="33" spans="1:7" x14ac:dyDescent="0.2">
      <c r="A33" s="2" t="s">
        <v>122</v>
      </c>
      <c r="B33" s="7">
        <v>-15164</v>
      </c>
      <c r="C33" s="7">
        <v>-19993</v>
      </c>
      <c r="D33" s="7">
        <v>-22697</v>
      </c>
      <c r="E33" s="7">
        <v>-35984</v>
      </c>
      <c r="F33" s="7">
        <v>-26320</v>
      </c>
      <c r="G33" s="7">
        <v>-37372</v>
      </c>
    </row>
    <row r="34" spans="1:7" x14ac:dyDescent="0.2">
      <c r="A34" s="2" t="s">
        <v>123</v>
      </c>
      <c r="B34" s="7">
        <v>271014</v>
      </c>
      <c r="C34" s="7" t="s">
        <v>20</v>
      </c>
      <c r="D34" s="7">
        <v>23829</v>
      </c>
      <c r="E34" s="7">
        <v>848</v>
      </c>
      <c r="F34" s="7">
        <v>2383</v>
      </c>
      <c r="G34" s="7">
        <v>6315</v>
      </c>
    </row>
    <row r="35" spans="1:7" x14ac:dyDescent="0.2">
      <c r="A35" s="2" t="s">
        <v>124</v>
      </c>
      <c r="B35" s="7">
        <v>-212919</v>
      </c>
      <c r="C35" s="7">
        <v>-64983</v>
      </c>
      <c r="D35" s="7">
        <v>-11156</v>
      </c>
      <c r="E35" s="7">
        <v>-3229</v>
      </c>
      <c r="F35" s="7">
        <v>-2941</v>
      </c>
      <c r="G35" s="7">
        <v>-2232</v>
      </c>
    </row>
    <row r="36" spans="1:7" x14ac:dyDescent="0.2">
      <c r="A36" s="2" t="s">
        <v>125</v>
      </c>
      <c r="B36" s="7" t="s">
        <v>20</v>
      </c>
      <c r="C36" s="7">
        <v>-5542</v>
      </c>
      <c r="D36" s="7">
        <v>-6259</v>
      </c>
      <c r="E36" s="7">
        <v>-12863</v>
      </c>
      <c r="F36" s="7">
        <v>-73486</v>
      </c>
      <c r="G36" s="7">
        <v>-6710</v>
      </c>
    </row>
    <row r="37" spans="1:7" x14ac:dyDescent="0.2">
      <c r="A37" s="2" t="s">
        <v>126</v>
      </c>
      <c r="B37" s="7">
        <v>-3651</v>
      </c>
      <c r="C37" s="7" t="s">
        <v>20</v>
      </c>
      <c r="D37" s="7" t="s">
        <v>20</v>
      </c>
      <c r="E37" s="7" t="s">
        <v>20</v>
      </c>
      <c r="F37" s="7" t="s">
        <v>20</v>
      </c>
      <c r="G37" s="7" t="s">
        <v>20</v>
      </c>
    </row>
    <row r="38" spans="1:7" x14ac:dyDescent="0.2">
      <c r="A38" s="2" t="s">
        <v>127</v>
      </c>
      <c r="B38" s="7">
        <v>-21527</v>
      </c>
      <c r="C38" s="7">
        <v>-21988</v>
      </c>
      <c r="D38" s="7">
        <v>-26559</v>
      </c>
      <c r="E38" s="7">
        <v>-28540</v>
      </c>
      <c r="F38" s="7">
        <v>-66162</v>
      </c>
      <c r="G38" s="7">
        <v>-38733</v>
      </c>
    </row>
    <row r="39" spans="1:7" x14ac:dyDescent="0.2">
      <c r="A39" s="2" t="s">
        <v>128</v>
      </c>
      <c r="B39" s="7">
        <v>-72</v>
      </c>
      <c r="C39" s="7">
        <v>-196</v>
      </c>
      <c r="D39" s="7" t="s">
        <v>20</v>
      </c>
      <c r="E39" s="7" t="s">
        <v>20</v>
      </c>
      <c r="F39" s="7" t="s">
        <v>20</v>
      </c>
      <c r="G39" s="7" t="s">
        <v>20</v>
      </c>
    </row>
    <row r="40" spans="1:7" x14ac:dyDescent="0.2">
      <c r="A40" s="6" t="s">
        <v>129</v>
      </c>
      <c r="B40" s="8">
        <v>75563</v>
      </c>
      <c r="C40" s="8">
        <v>-95137</v>
      </c>
      <c r="D40" s="8">
        <v>-12209</v>
      </c>
      <c r="E40" s="8">
        <v>-41055</v>
      </c>
      <c r="F40" s="8">
        <v>-150026</v>
      </c>
      <c r="G40" s="8">
        <v>14198</v>
      </c>
    </row>
    <row r="41" spans="1:7" x14ac:dyDescent="0.2">
      <c r="A41" s="2"/>
      <c r="B41" s="2"/>
      <c r="C41" s="2"/>
      <c r="D41" s="2"/>
      <c r="E41" s="2"/>
      <c r="F41" s="2"/>
      <c r="G41" s="2"/>
    </row>
    <row r="42" spans="1:7" x14ac:dyDescent="0.2">
      <c r="A42" s="6" t="s">
        <v>130</v>
      </c>
      <c r="B42" s="2"/>
      <c r="C42" s="2"/>
      <c r="D42" s="2"/>
      <c r="E42" s="2"/>
      <c r="F42" s="2"/>
      <c r="G42" s="2"/>
    </row>
    <row r="43" spans="1:7" x14ac:dyDescent="0.2">
      <c r="A43" s="2" t="s">
        <v>131</v>
      </c>
      <c r="B43" s="7">
        <v>-6084</v>
      </c>
      <c r="C43" s="7">
        <v>-3600</v>
      </c>
      <c r="D43" s="7">
        <v>1030</v>
      </c>
      <c r="E43" s="7">
        <v>6635</v>
      </c>
      <c r="F43" s="7">
        <v>1996</v>
      </c>
      <c r="G43" s="7">
        <v>2356</v>
      </c>
    </row>
    <row r="44" spans="1:7" x14ac:dyDescent="0.2">
      <c r="A44" s="2" t="s">
        <v>132</v>
      </c>
      <c r="B44" s="7">
        <v>197535</v>
      </c>
      <c r="C44" s="7">
        <v>-88292</v>
      </c>
      <c r="D44" s="7">
        <v>35894</v>
      </c>
      <c r="E44" s="7">
        <v>829</v>
      </c>
      <c r="F44" s="7">
        <v>-115891</v>
      </c>
      <c r="G44" s="7">
        <v>148980</v>
      </c>
    </row>
    <row r="45" spans="1:7" ht="61.2" x14ac:dyDescent="0.2">
      <c r="A45" s="12" t="s">
        <v>43</v>
      </c>
      <c r="B45" s="10"/>
      <c r="C45" s="10"/>
      <c r="D45" s="10"/>
      <c r="E45" s="10"/>
      <c r="F45" s="10"/>
      <c r="G45" s="10"/>
    </row>
    <row r="1048576" spans="16384:16384" ht="13.2" x14ac:dyDescent="0.25">
      <c r="XFD1048576" s="307" t="s">
        <v>459</v>
      </c>
    </row>
  </sheetData>
  <pageMargins left="0.2" right="0.2" top="0.5" bottom="0.5" header="0.5" footer="0.5"/>
  <pageSetup fitToWidth="0" fitToHeight="0" orientation="landscape" horizontalDpi="0" verticalDpi="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3415F-9BC0-4833-8E70-A1CEA0F3312F}">
  <sheetPr codeName="Sheet7">
    <outlinePr summaryBelow="0" summaryRight="0"/>
    <pageSetUpPr autoPageBreaks="0"/>
  </sheetPr>
  <dimension ref="A1:XFD1048576"/>
  <sheetViews>
    <sheetView showGridLines="0" zoomScale="92" zoomScaleNormal="100" workbookViewId="0"/>
  </sheetViews>
  <sheetFormatPr defaultColWidth="15.77734375" defaultRowHeight="10.199999999999999" x14ac:dyDescent="0.2"/>
  <cols>
    <col min="1" max="1" width="35.6640625" style="1" customWidth="1"/>
    <col min="2" max="16384" width="15.77734375" style="1"/>
  </cols>
  <sheetData>
    <row r="1" spans="1:250" customFormat="1" ht="13.2" x14ac:dyDescent="0.25"/>
    <row r="2" spans="1:250" x14ac:dyDescent="0.2">
      <c r="A2" s="154" t="s">
        <v>276</v>
      </c>
      <c r="B2" s="154"/>
      <c r="C2" s="154"/>
      <c r="D2" s="154"/>
      <c r="E2" s="154"/>
      <c r="F2" s="154"/>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row>
    <row r="3" spans="1:250" ht="30.6" x14ac:dyDescent="0.2">
      <c r="A3" s="264" t="s">
        <v>277</v>
      </c>
      <c r="B3" s="267" t="s">
        <v>291</v>
      </c>
      <c r="C3" s="267" t="s">
        <v>292</v>
      </c>
      <c r="D3" s="267" t="s">
        <v>293</v>
      </c>
      <c r="E3" s="267" t="s">
        <v>294</v>
      </c>
      <c r="F3" s="267" t="s">
        <v>342</v>
      </c>
    </row>
    <row r="4" spans="1:250" ht="12" customHeight="1" x14ac:dyDescent="0.2">
      <c r="A4" s="264" t="s">
        <v>278</v>
      </c>
      <c r="B4" s="153">
        <v>0.44</v>
      </c>
      <c r="C4" s="153">
        <v>4.7300000000000004</v>
      </c>
      <c r="D4" s="153">
        <v>8.65</v>
      </c>
      <c r="E4" s="153">
        <v>6.98</v>
      </c>
      <c r="F4" s="1">
        <v>0.19</v>
      </c>
    </row>
    <row r="5" spans="1:250" ht="12" customHeight="1" x14ac:dyDescent="0.2">
      <c r="A5" s="264" t="s">
        <v>420</v>
      </c>
      <c r="B5" s="153" t="s">
        <v>421</v>
      </c>
      <c r="C5" s="153" t="s">
        <v>422</v>
      </c>
      <c r="D5" s="153" t="s">
        <v>423</v>
      </c>
      <c r="E5" s="153" t="s">
        <v>424</v>
      </c>
      <c r="F5" s="1">
        <v>0.09</v>
      </c>
    </row>
    <row r="6" spans="1:250" ht="12" customHeight="1" x14ac:dyDescent="0.2">
      <c r="A6" s="264" t="s">
        <v>279</v>
      </c>
      <c r="B6" s="153">
        <v>1.29</v>
      </c>
      <c r="C6" s="153">
        <v>19.649999999999999</v>
      </c>
      <c r="D6" s="153">
        <v>38.51</v>
      </c>
      <c r="E6" s="153">
        <v>28.47</v>
      </c>
      <c r="F6" s="1">
        <v>0.61</v>
      </c>
    </row>
    <row r="7" spans="1:250" ht="12" customHeight="1" x14ac:dyDescent="0.2">
      <c r="A7" s="264" t="s">
        <v>280</v>
      </c>
      <c r="B7" s="153">
        <v>0.86</v>
      </c>
      <c r="C7" s="153">
        <v>6.6</v>
      </c>
      <c r="D7" s="153">
        <v>13.46</v>
      </c>
      <c r="E7" s="153">
        <v>9.2100000000000009</v>
      </c>
      <c r="F7" s="1">
        <v>0.19</v>
      </c>
    </row>
    <row r="8" spans="1:250" ht="12" customHeight="1" x14ac:dyDescent="0.2">
      <c r="A8" s="264" t="s">
        <v>281</v>
      </c>
      <c r="B8" s="153">
        <v>2.38</v>
      </c>
      <c r="C8" s="153">
        <v>23.8</v>
      </c>
      <c r="D8" s="153">
        <v>46.43</v>
      </c>
      <c r="E8" s="153">
        <v>33.36</v>
      </c>
      <c r="F8" s="1">
        <v>1.31</v>
      </c>
    </row>
    <row r="9" spans="1:250" ht="12" customHeight="1" x14ac:dyDescent="0.2">
      <c r="A9" s="264" t="s">
        <v>282</v>
      </c>
      <c r="B9" s="153">
        <v>0.6</v>
      </c>
      <c r="C9" s="153">
        <v>11.5</v>
      </c>
      <c r="D9" s="153">
        <v>19.440000000000001</v>
      </c>
      <c r="E9" s="153">
        <v>16.57</v>
      </c>
      <c r="F9" s="1">
        <v>0.19</v>
      </c>
    </row>
    <row r="10" spans="1:250" ht="12" customHeight="1" x14ac:dyDescent="0.2">
      <c r="A10" s="264" t="s">
        <v>283</v>
      </c>
      <c r="B10" s="153">
        <v>1.25</v>
      </c>
      <c r="C10" s="153">
        <v>25.58</v>
      </c>
      <c r="D10" s="153">
        <v>42.31</v>
      </c>
      <c r="E10" s="153">
        <v>31.73</v>
      </c>
      <c r="F10" s="1">
        <v>0.86</v>
      </c>
    </row>
    <row r="11" spans="1:250" ht="12" customHeight="1" x14ac:dyDescent="0.2">
      <c r="A11" s="293" t="s">
        <v>284</v>
      </c>
      <c r="B11" s="294">
        <v>0.91</v>
      </c>
      <c r="C11" s="294">
        <v>14.81</v>
      </c>
      <c r="D11" s="294">
        <v>33.71</v>
      </c>
      <c r="E11" s="294">
        <v>20.98</v>
      </c>
      <c r="F11" s="295">
        <v>0.77</v>
      </c>
    </row>
    <row r="12" spans="1:250" x14ac:dyDescent="0.2">
      <c r="A12" s="151"/>
      <c r="B12" s="151"/>
      <c r="C12" s="151"/>
      <c r="D12" s="151"/>
      <c r="E12" s="151"/>
    </row>
    <row r="13" spans="1:250" ht="30.6" x14ac:dyDescent="0.2">
      <c r="A13" s="264" t="s">
        <v>285</v>
      </c>
      <c r="B13" s="267" t="s">
        <v>291</v>
      </c>
      <c r="C13" s="267" t="s">
        <v>292</v>
      </c>
      <c r="D13" s="267" t="s">
        <v>293</v>
      </c>
      <c r="E13" s="267" t="s">
        <v>294</v>
      </c>
      <c r="F13" s="267" t="s">
        <v>342</v>
      </c>
    </row>
    <row r="14" spans="1:250" x14ac:dyDescent="0.2">
      <c r="A14" s="264" t="s">
        <v>286</v>
      </c>
      <c r="B14" s="152">
        <f>MAX(B$4:B$11)</f>
        <v>2.38</v>
      </c>
      <c r="C14" s="152">
        <f t="shared" ref="C14:F14" si="0">MAX(C$4:C$11)</f>
        <v>25.58</v>
      </c>
      <c r="D14" s="152">
        <f t="shared" si="0"/>
        <v>46.43</v>
      </c>
      <c r="E14" s="152">
        <f t="shared" si="0"/>
        <v>33.36</v>
      </c>
      <c r="F14" s="1">
        <f t="shared" si="0"/>
        <v>1.31</v>
      </c>
    </row>
    <row r="15" spans="1:250" x14ac:dyDescent="0.2">
      <c r="A15" s="264" t="s">
        <v>287</v>
      </c>
      <c r="B15" s="152">
        <f>MIN(B$4:B$11)</f>
        <v>0.44</v>
      </c>
      <c r="C15" s="152">
        <f t="shared" ref="C15:F15" si="1">MIN(C$4:C$11)</f>
        <v>4.7300000000000004</v>
      </c>
      <c r="D15" s="152">
        <f t="shared" si="1"/>
        <v>8.65</v>
      </c>
      <c r="E15" s="152">
        <f t="shared" si="1"/>
        <v>6.98</v>
      </c>
      <c r="F15" s="1">
        <f t="shared" si="1"/>
        <v>0.09</v>
      </c>
    </row>
    <row r="16" spans="1:250" x14ac:dyDescent="0.2">
      <c r="A16" s="264" t="s">
        <v>288</v>
      </c>
      <c r="B16" s="152">
        <f>AVERAGE(B4:B11)</f>
        <v>1.1042857142857143</v>
      </c>
      <c r="C16" s="152">
        <f t="shared" ref="C16:E16" si="2">AVERAGE(C4:C11)</f>
        <v>15.238571428571429</v>
      </c>
      <c r="D16" s="152">
        <f t="shared" si="2"/>
        <v>28.930000000000003</v>
      </c>
      <c r="E16" s="152">
        <f t="shared" si="2"/>
        <v>21.042857142857144</v>
      </c>
      <c r="F16" s="209">
        <f t="shared" ref="F16" si="3">AVERAGE(F4:F11)</f>
        <v>0.52625</v>
      </c>
    </row>
    <row r="17" spans="1:6" x14ac:dyDescent="0.2">
      <c r="A17" s="264" t="s">
        <v>289</v>
      </c>
      <c r="B17" s="152">
        <f>MEDIAN(B$4:B$11)</f>
        <v>0.91</v>
      </c>
      <c r="C17" s="152">
        <f t="shared" ref="C17:F17" si="4">MEDIAN(C$4:C$11)</f>
        <v>14.81</v>
      </c>
      <c r="D17" s="152">
        <f t="shared" si="4"/>
        <v>33.71</v>
      </c>
      <c r="E17" s="152">
        <f t="shared" si="4"/>
        <v>20.98</v>
      </c>
      <c r="F17" s="209">
        <f t="shared" si="4"/>
        <v>0.4</v>
      </c>
    </row>
    <row r="18" spans="1:6" x14ac:dyDescent="0.2">
      <c r="A18" s="10"/>
      <c r="B18" s="10"/>
      <c r="C18" s="10"/>
      <c r="D18" s="10"/>
      <c r="E18" s="10"/>
    </row>
    <row r="20" spans="1:6" x14ac:dyDescent="0.2">
      <c r="A20" s="2"/>
      <c r="C20" s="154"/>
      <c r="D20" s="154"/>
      <c r="E20" s="154"/>
      <c r="F20" s="154"/>
    </row>
    <row r="21" spans="1:6" x14ac:dyDescent="0.2">
      <c r="B21" s="265"/>
      <c r="C21" s="266"/>
      <c r="D21" s="266"/>
      <c r="E21" s="266"/>
      <c r="F21" s="266"/>
    </row>
    <row r="22" spans="1:6" x14ac:dyDescent="0.2">
      <c r="B22" s="210"/>
      <c r="C22" s="153"/>
      <c r="D22" s="153"/>
      <c r="E22" s="153"/>
    </row>
    <row r="23" spans="1:6" x14ac:dyDescent="0.2">
      <c r="B23" s="210"/>
      <c r="C23" s="153"/>
      <c r="D23" s="153"/>
      <c r="E23" s="153"/>
    </row>
    <row r="24" spans="1:6" x14ac:dyDescent="0.2">
      <c r="B24" s="210"/>
      <c r="C24" s="153"/>
      <c r="D24" s="153"/>
      <c r="E24" s="153"/>
    </row>
    <row r="25" spans="1:6" x14ac:dyDescent="0.2">
      <c r="B25" s="210"/>
      <c r="C25" s="153"/>
      <c r="D25" s="153"/>
      <c r="E25" s="153"/>
    </row>
    <row r="26" spans="1:6" x14ac:dyDescent="0.2">
      <c r="B26" s="210"/>
      <c r="C26" s="153"/>
      <c r="D26" s="153"/>
      <c r="E26" s="153"/>
    </row>
    <row r="27" spans="1:6" x14ac:dyDescent="0.2">
      <c r="B27" s="210"/>
      <c r="C27" s="153"/>
      <c r="D27" s="153"/>
      <c r="E27" s="153"/>
    </row>
    <row r="28" spans="1:6" x14ac:dyDescent="0.2">
      <c r="B28" s="210"/>
      <c r="C28" s="153"/>
      <c r="D28" s="153"/>
      <c r="E28" s="153"/>
    </row>
    <row r="29" spans="1:6" x14ac:dyDescent="0.2">
      <c r="B29" s="210"/>
      <c r="C29" s="153"/>
      <c r="D29" s="153"/>
      <c r="E29" s="153"/>
    </row>
    <row r="30" spans="1:6" x14ac:dyDescent="0.2">
      <c r="B30" s="210"/>
      <c r="C30" s="211"/>
      <c r="D30" s="211"/>
      <c r="E30" s="211"/>
    </row>
    <row r="31" spans="1:6" x14ac:dyDescent="0.2">
      <c r="B31" s="210"/>
      <c r="C31" s="153"/>
      <c r="D31" s="153"/>
      <c r="E31" s="153"/>
      <c r="F31" s="211"/>
    </row>
    <row r="32" spans="1:6" x14ac:dyDescent="0.2">
      <c r="B32" s="210"/>
      <c r="C32" s="153"/>
      <c r="D32" s="153"/>
      <c r="E32" s="153"/>
    </row>
    <row r="33" spans="1:6" x14ac:dyDescent="0.2">
      <c r="B33" s="210"/>
      <c r="C33" s="153"/>
      <c r="D33" s="153"/>
      <c r="E33" s="153"/>
    </row>
    <row r="34" spans="1:6" ht="25.05" customHeight="1" x14ac:dyDescent="0.2">
      <c r="A34" s="268"/>
      <c r="B34" s="210"/>
      <c r="C34" s="153"/>
      <c r="D34" s="153"/>
      <c r="E34" s="153"/>
    </row>
    <row r="35" spans="1:6" x14ac:dyDescent="0.2">
      <c r="F35" s="209"/>
    </row>
    <row r="41" spans="1:6" x14ac:dyDescent="0.2">
      <c r="A41" s="3"/>
    </row>
    <row r="1048576" spans="16384:16384" ht="13.2" x14ac:dyDescent="0.25">
      <c r="XFD1048576" s="307" t="s">
        <v>459</v>
      </c>
    </row>
  </sheetData>
  <conditionalFormatting sqref="A3:F10">
    <cfRule type="expression" dxfId="7" priority="3">
      <formula>MOD(ROW(),2)</formula>
    </cfRule>
  </conditionalFormatting>
  <conditionalFormatting sqref="A13:F17">
    <cfRule type="expression" dxfId="6" priority="1">
      <formula>MOD(ROW(),2)</formula>
    </cfRule>
  </conditionalFormatting>
  <hyperlinks>
    <hyperlink ref="A5" r:id="rId1" tooltip="Cencosud S.A. (SNSE:CENCOSUD)" display="https://www.capitaliq.com/CIQDotNet/company.aspx?companyId=6528025" xr:uid="{78634A69-6E60-4879-96DA-E292DFF63171}"/>
    <hyperlink ref="B5" r:id="rId2" tooltip="Company: Cencosud S.A. (SNSE:CENCOSUD) Data Item: TEV/Forward Total Revenue Value: 0.67x " display="javascript:click();" xr:uid="{1C552D64-ADCB-4E18-BA57-958375D4F9FF}"/>
    <hyperlink ref="C5" r:id="rId3" tooltip="Company: Cencosud S.A. (SNSE:CENCOSUD) Data Item: TEV/Forward EBITDA Value: 7.86x " display="javascript:click();" xr:uid="{79E1068A-BB2A-4A7E-8F02-4B78068A6037}"/>
    <hyperlink ref="D5" r:id="rId4" tooltip="Company: Cencosud S.A. (SNSE:CENCOSUD) Data Item: Forward P/E Value: 12.96x " display="javascript:click();" xr:uid="{AEF5C4D8-6DB5-4622-89B8-1E08F538271F}"/>
    <hyperlink ref="E5" r:id="rId5" tooltip="Company: Cencosud S.A. (SNSE:CENCOSUD) Data Item: TEV/Forward EBIT Value: 10.22x " display="javascript:click();" xr:uid="{6576CBC9-577D-4D6E-8D79-44AA02F16CE4}"/>
  </hyperlinks>
  <pageMargins left="0.2" right="0.2" top="0.5" bottom="0.5" header="0.5" footer="0.5"/>
  <pageSetup fitToWidth="0" fitToHeight="0" orientation="landscape" horizontalDpi="0" verticalDpi="0"/>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436A8B-2DEE-449E-93A1-C79DA2640B31}">
  <sheetPr codeName="Sheet5"/>
  <dimension ref="A1:XFD1048576"/>
  <sheetViews>
    <sheetView showGridLines="0" tabSelected="1" topLeftCell="A29" zoomScale="65" zoomScaleNormal="50" workbookViewId="0">
      <selection activeCell="C98" sqref="C98"/>
    </sheetView>
  </sheetViews>
  <sheetFormatPr defaultRowHeight="13.2" outlineLevelRow="2" x14ac:dyDescent="0.25"/>
  <cols>
    <col min="1" max="2" width="30.77734375" customWidth="1"/>
    <col min="3" max="3" width="14.21875" bestFit="1" customWidth="1"/>
    <col min="4" max="4" width="20.44140625" bestFit="1" customWidth="1"/>
    <col min="5" max="6" width="13.21875" bestFit="1" customWidth="1"/>
    <col min="7" max="7" width="13.44140625" style="13" bestFit="1" customWidth="1"/>
    <col min="8" max="8" width="13.44140625" bestFit="1" customWidth="1"/>
    <col min="9" max="9" width="15.44140625" bestFit="1" customWidth="1"/>
    <col min="10" max="10" width="19.109375" bestFit="1" customWidth="1"/>
    <col min="11" max="11" width="22.88671875" bestFit="1" customWidth="1"/>
    <col min="12" max="12" width="28.109375" bestFit="1" customWidth="1"/>
    <col min="13" max="13" width="9" bestFit="1" customWidth="1"/>
    <col min="14" max="14" width="13.109375" bestFit="1" customWidth="1"/>
    <col min="15" max="15" width="12.77734375" customWidth="1"/>
    <col min="16" max="19" width="11.88671875" bestFit="1" customWidth="1"/>
  </cols>
  <sheetData>
    <row r="1" spans="2:15" ht="49.95" customHeight="1" x14ac:dyDescent="0.25">
      <c r="B1" s="142" t="e" vm="1">
        <v>#VALUE!</v>
      </c>
      <c r="C1" s="142"/>
      <c r="D1" s="142"/>
      <c r="E1" s="142"/>
      <c r="F1" s="142"/>
      <c r="G1" s="22"/>
      <c r="H1" s="142"/>
      <c r="I1" s="142"/>
      <c r="J1" s="142"/>
      <c r="K1" s="142"/>
      <c r="L1" s="142"/>
    </row>
    <row r="2" spans="2:15" x14ac:dyDescent="0.25">
      <c r="B2" t="s">
        <v>353</v>
      </c>
      <c r="G2"/>
    </row>
    <row r="3" spans="2:15" x14ac:dyDescent="0.25">
      <c r="B3" t="s">
        <v>243</v>
      </c>
      <c r="C3" s="21">
        <f ca="1">TODAY()</f>
        <v>46259</v>
      </c>
      <c r="G3"/>
    </row>
    <row r="4" spans="2:15" x14ac:dyDescent="0.25">
      <c r="B4" t="s">
        <v>241</v>
      </c>
      <c r="C4" t="s">
        <v>242</v>
      </c>
      <c r="G4"/>
      <c r="M4" t="s">
        <v>346</v>
      </c>
      <c r="N4" s="213" t="s">
        <v>345</v>
      </c>
    </row>
    <row r="5" spans="2:15" x14ac:dyDescent="0.25">
      <c r="B5" t="s">
        <v>298</v>
      </c>
      <c r="C5">
        <v>1</v>
      </c>
      <c r="G5"/>
    </row>
    <row r="6" spans="2:15" x14ac:dyDescent="0.25">
      <c r="B6" s="138"/>
      <c r="C6" s="137" t="s">
        <v>0</v>
      </c>
      <c r="D6" s="138"/>
      <c r="E6" s="138"/>
      <c r="F6" s="138"/>
      <c r="G6" s="139"/>
      <c r="H6" s="138"/>
      <c r="I6" s="138"/>
      <c r="J6" s="138"/>
      <c r="K6" s="138"/>
      <c r="L6" s="138"/>
    </row>
    <row r="7" spans="2:15" x14ac:dyDescent="0.25">
      <c r="C7" s="23">
        <v>2021</v>
      </c>
      <c r="D7" s="23">
        <f>C7+1</f>
        <v>2022</v>
      </c>
      <c r="E7" s="23">
        <f t="shared" ref="E7:L7" si="0">D7+1</f>
        <v>2023</v>
      </c>
      <c r="F7" s="23">
        <f t="shared" si="0"/>
        <v>2024</v>
      </c>
      <c r="G7" s="27">
        <f t="shared" si="0"/>
        <v>2025</v>
      </c>
      <c r="H7" s="24">
        <f t="shared" si="0"/>
        <v>2026</v>
      </c>
      <c r="I7" s="24">
        <f t="shared" si="0"/>
        <v>2027</v>
      </c>
      <c r="J7" s="24">
        <f t="shared" si="0"/>
        <v>2028</v>
      </c>
      <c r="K7" s="24">
        <f t="shared" si="0"/>
        <v>2029</v>
      </c>
      <c r="L7" s="24">
        <f t="shared" si="0"/>
        <v>2030</v>
      </c>
    </row>
    <row r="8" spans="2:15" x14ac:dyDescent="0.25">
      <c r="B8" t="s">
        <v>134</v>
      </c>
      <c r="C8" s="15">
        <f t="shared" ref="C8:L8" si="1">C210</f>
        <v>3619871</v>
      </c>
      <c r="D8" s="15">
        <f t="shared" si="1"/>
        <v>4066093</v>
      </c>
      <c r="E8" s="15">
        <f t="shared" si="1"/>
        <v>4411842</v>
      </c>
      <c r="F8" s="15">
        <f t="shared" si="1"/>
        <v>4913898</v>
      </c>
      <c r="G8" s="14">
        <f t="shared" si="1"/>
        <v>5270094</v>
      </c>
      <c r="H8" s="15">
        <f t="shared" si="1"/>
        <v>5744422.5607000589</v>
      </c>
      <c r="I8" s="15">
        <f t="shared" si="1"/>
        <v>6301687.9713235954</v>
      </c>
      <c r="J8" s="15">
        <f t="shared" si="1"/>
        <v>6632929.6464475114</v>
      </c>
      <c r="K8" s="15">
        <f t="shared" si="1"/>
        <v>7062819.7522568367</v>
      </c>
      <c r="L8" s="15">
        <f t="shared" si="1"/>
        <v>7464614.5961779887</v>
      </c>
    </row>
    <row r="9" spans="2:15" x14ac:dyDescent="0.25">
      <c r="B9" t="s">
        <v>135</v>
      </c>
      <c r="C9" s="17">
        <f>C260</f>
        <v>-2975338</v>
      </c>
      <c r="D9" s="17">
        <f>D260</f>
        <v>-3384945</v>
      </c>
      <c r="E9" s="17">
        <f>E260</f>
        <v>-3652511</v>
      </c>
      <c r="F9" s="17">
        <f>F260</f>
        <v>-4066974</v>
      </c>
      <c r="G9" s="16">
        <f>G260</f>
        <v>-4355722</v>
      </c>
      <c r="H9" s="17">
        <f t="shared" ref="H9:L9" si="2">H260</f>
        <v>-4749156.3319081711</v>
      </c>
      <c r="I9" s="17">
        <f t="shared" si="2"/>
        <v>-5207057.4202055316</v>
      </c>
      <c r="J9" s="17">
        <f t="shared" si="2"/>
        <v>-5477959.77427347</v>
      </c>
      <c r="K9" s="17">
        <f t="shared" si="2"/>
        <v>-5829728.7000358133</v>
      </c>
      <c r="L9" s="17">
        <f t="shared" si="2"/>
        <v>-6158681.4856333593</v>
      </c>
    </row>
    <row r="10" spans="2:15" x14ac:dyDescent="0.25">
      <c r="B10" t="s">
        <v>309</v>
      </c>
      <c r="C10" s="15">
        <f>SUM(C8:C9)</f>
        <v>644533</v>
      </c>
      <c r="D10" s="15">
        <f t="shared" ref="D10:G10" si="3">SUM(D8:D9)</f>
        <v>681148</v>
      </c>
      <c r="E10" s="15">
        <f t="shared" si="3"/>
        <v>759331</v>
      </c>
      <c r="F10" s="15">
        <f t="shared" si="3"/>
        <v>846924</v>
      </c>
      <c r="G10" s="14">
        <f t="shared" si="3"/>
        <v>914372</v>
      </c>
      <c r="H10" s="15">
        <f>SUM(H8:H9)</f>
        <v>995266.22879188787</v>
      </c>
      <c r="I10" s="15">
        <f t="shared" ref="I10:L10" si="4">SUM(I8:I9)</f>
        <v>1094630.5511180637</v>
      </c>
      <c r="J10" s="15">
        <f t="shared" si="4"/>
        <v>1154969.8721740413</v>
      </c>
      <c r="K10" s="15">
        <f t="shared" si="4"/>
        <v>1233091.0522210235</v>
      </c>
      <c r="L10" s="15">
        <f t="shared" si="4"/>
        <v>1305933.1105446294</v>
      </c>
    </row>
    <row r="11" spans="2:15" x14ac:dyDescent="0.25">
      <c r="B11" t="s">
        <v>137</v>
      </c>
      <c r="C11" s="17">
        <f>C277</f>
        <v>-420503</v>
      </c>
      <c r="D11" s="17">
        <f t="shared" ref="D11:G11" si="5">D277</f>
        <v>-444949</v>
      </c>
      <c r="E11" s="17">
        <f t="shared" si="5"/>
        <v>-486447</v>
      </c>
      <c r="F11" s="17">
        <f t="shared" si="5"/>
        <v>-541201</v>
      </c>
      <c r="G11" s="16">
        <f t="shared" si="5"/>
        <v>-591234</v>
      </c>
      <c r="H11" s="17">
        <f t="shared" ref="H11:L11" si="6">H277</f>
        <v>-663144.96712018433</v>
      </c>
      <c r="I11" s="17">
        <f t="shared" si="6"/>
        <v>-730048.92072932702</v>
      </c>
      <c r="J11" s="17">
        <f t="shared" si="6"/>
        <v>-819173.40375793807</v>
      </c>
      <c r="K11" s="17">
        <f t="shared" si="6"/>
        <v>-869120.17263874062</v>
      </c>
      <c r="L11" s="17">
        <f t="shared" si="6"/>
        <v>-936560.0666542945</v>
      </c>
    </row>
    <row r="12" spans="2:15" x14ac:dyDescent="0.25">
      <c r="B12" t="s">
        <v>138</v>
      </c>
      <c r="C12" s="15">
        <f>SUM(C10:C11)</f>
        <v>224030</v>
      </c>
      <c r="D12" s="15">
        <f>SUM(D10:D11)</f>
        <v>236199</v>
      </c>
      <c r="E12" s="15">
        <f t="shared" ref="E12:G12" si="7">SUM(E10:E11)</f>
        <v>272884</v>
      </c>
      <c r="F12" s="15">
        <f t="shared" si="7"/>
        <v>305723</v>
      </c>
      <c r="G12" s="14">
        <f t="shared" si="7"/>
        <v>323138</v>
      </c>
      <c r="H12" s="15">
        <f>SUM(H10:H11)</f>
        <v>332121.26167170354</v>
      </c>
      <c r="I12" s="15">
        <f t="shared" ref="I12:L12" si="8">SUM(I10:I11)</f>
        <v>364581.63038873672</v>
      </c>
      <c r="J12" s="15">
        <f t="shared" si="8"/>
        <v>335796.46841610328</v>
      </c>
      <c r="K12" s="15">
        <f t="shared" si="8"/>
        <v>363970.87958228285</v>
      </c>
      <c r="L12" s="15">
        <f t="shared" si="8"/>
        <v>369373.0438903349</v>
      </c>
      <c r="O12" s="15"/>
    </row>
    <row r="13" spans="2:15" x14ac:dyDescent="0.25">
      <c r="B13" t="s">
        <v>136</v>
      </c>
      <c r="C13" s="49">
        <f>-'Cash Flow'!C8</f>
        <v>-64983</v>
      </c>
      <c r="D13" s="49">
        <f>-'Cash Flow'!D8</f>
        <v>-67868</v>
      </c>
      <c r="E13" s="49">
        <f>-'Cash Flow'!E8</f>
        <v>-72698</v>
      </c>
      <c r="F13" s="49">
        <f>-'Cash Flow'!F8</f>
        <v>-82611</v>
      </c>
      <c r="G13" s="50">
        <f>-'Cash Flow'!G8</f>
        <v>-88161</v>
      </c>
      <c r="H13" s="19">
        <f>H379</f>
        <v>-88233.176397545161</v>
      </c>
      <c r="I13" s="19">
        <f>I379</f>
        <v>-105722.17243700549</v>
      </c>
      <c r="J13" s="19">
        <f>J379</f>
        <v>-63147.959800095479</v>
      </c>
      <c r="K13" s="19">
        <f>K379</f>
        <v>-79114.990380867966</v>
      </c>
      <c r="L13" s="19">
        <f>L379</f>
        <v>-65430.907988127234</v>
      </c>
    </row>
    <row r="14" spans="2:15" x14ac:dyDescent="0.25">
      <c r="B14" t="s">
        <v>139</v>
      </c>
      <c r="C14" s="15">
        <f>SUM(C12:C13)</f>
        <v>159047</v>
      </c>
      <c r="D14" s="15">
        <f>SUM(D12:D13)</f>
        <v>168331</v>
      </c>
      <c r="E14" s="15">
        <f t="shared" ref="E14:G14" si="9">SUM(E12:E13)</f>
        <v>200186</v>
      </c>
      <c r="F14" s="15">
        <f t="shared" si="9"/>
        <v>223112</v>
      </c>
      <c r="G14" s="30">
        <f t="shared" si="9"/>
        <v>234977</v>
      </c>
      <c r="H14" s="15">
        <f>SUM(H12:H13)</f>
        <v>243888.08527415839</v>
      </c>
      <c r="I14" s="15">
        <f t="shared" ref="I14:L14" si="10">SUM(I12:I13)</f>
        <v>258859.45795173122</v>
      </c>
      <c r="J14" s="15">
        <f t="shared" si="10"/>
        <v>272648.50861600781</v>
      </c>
      <c r="K14" s="15">
        <f t="shared" si="10"/>
        <v>284855.88920141489</v>
      </c>
      <c r="L14" s="15">
        <f t="shared" si="10"/>
        <v>303942.13590220769</v>
      </c>
    </row>
    <row r="15" spans="2:15" x14ac:dyDescent="0.25">
      <c r="B15" t="s">
        <v>140</v>
      </c>
      <c r="C15" s="45">
        <f>C337</f>
        <v>-5231</v>
      </c>
      <c r="D15" s="45">
        <f>D337</f>
        <v>-7410</v>
      </c>
      <c r="E15" s="45">
        <f>E337</f>
        <v>-1149</v>
      </c>
      <c r="F15" s="45">
        <f>F337</f>
        <v>-1910</v>
      </c>
      <c r="G15" s="46">
        <f>G337</f>
        <v>-1376</v>
      </c>
      <c r="H15" s="31">
        <f ca="1">IF($C$5=0,0,H337)</f>
        <v>-3380.6780459537931</v>
      </c>
      <c r="I15" s="31">
        <f ca="1">IF($C$5=0,0,I337)</f>
        <v>-1453.7396295787712</v>
      </c>
      <c r="J15" s="31">
        <f ca="1">IF($C$5=0,0,J337)</f>
        <v>874.92719172426769</v>
      </c>
      <c r="K15" s="31">
        <f ca="1">IF($C$5=0,0,K337)</f>
        <v>3755.7923167769768</v>
      </c>
      <c r="L15" s="31">
        <f ca="1">IF($C$5=0,0,L337)</f>
        <v>6897.3518681213973</v>
      </c>
    </row>
    <row r="16" spans="2:15" x14ac:dyDescent="0.25">
      <c r="B16" t="s">
        <v>171</v>
      </c>
      <c r="C16" s="17">
        <f>C301</f>
        <v>-6630</v>
      </c>
      <c r="D16" s="17">
        <f>D301</f>
        <v>-4500</v>
      </c>
      <c r="E16" s="17">
        <f>E301</f>
        <v>-29826</v>
      </c>
      <c r="F16" s="17">
        <f>F301</f>
        <v>-19775</v>
      </c>
      <c r="G16" s="16">
        <f>G301</f>
        <v>-27103</v>
      </c>
      <c r="H16" s="17">
        <f t="shared" ref="H16:L16" si="11">H301</f>
        <v>-17787.762105415921</v>
      </c>
      <c r="I16" s="17">
        <f t="shared" si="11"/>
        <v>-19513.349742642309</v>
      </c>
      <c r="J16" s="17">
        <f t="shared" si="11"/>
        <v>-20539.048680045278</v>
      </c>
      <c r="K16" s="17">
        <f t="shared" si="11"/>
        <v>-21870.215190309187</v>
      </c>
      <c r="L16" s="17">
        <f t="shared" si="11"/>
        <v>-23114.383951108215</v>
      </c>
    </row>
    <row r="17" spans="2:12" x14ac:dyDescent="0.25">
      <c r="B17" t="s">
        <v>141</v>
      </c>
      <c r="C17" s="15">
        <f>SUM(C14:C16)</f>
        <v>147186</v>
      </c>
      <c r="D17" s="15">
        <f t="shared" ref="D17:G17" si="12">SUM(D14:D16)</f>
        <v>156421</v>
      </c>
      <c r="E17" s="15">
        <f>SUM(E14:E16)</f>
        <v>169211</v>
      </c>
      <c r="F17" s="15">
        <f>SUM(F14:F16)</f>
        <v>201427</v>
      </c>
      <c r="G17" s="30">
        <f t="shared" si="12"/>
        <v>206498</v>
      </c>
      <c r="H17" s="15">
        <f ca="1">SUM(H14:H16)</f>
        <v>222719.64512278867</v>
      </c>
      <c r="I17" s="15">
        <f t="shared" ref="I17:L17" ca="1" si="13">SUM(I14:I16)</f>
        <v>237892.36857951013</v>
      </c>
      <c r="J17" s="15">
        <f t="shared" ca="1" si="13"/>
        <v>252984.38712768676</v>
      </c>
      <c r="K17" s="15">
        <f t="shared" ca="1" si="13"/>
        <v>266741.46632788272</v>
      </c>
      <c r="L17" s="15">
        <f t="shared" ca="1" si="13"/>
        <v>287725.10381922091</v>
      </c>
    </row>
    <row r="18" spans="2:12" x14ac:dyDescent="0.25">
      <c r="B18" t="s">
        <v>142</v>
      </c>
      <c r="C18" s="45">
        <f>'Income Statement'!C30</f>
        <v>-48969</v>
      </c>
      <c r="D18" s="45">
        <f>'Income Statement'!D30</f>
        <v>-51858</v>
      </c>
      <c r="E18" s="45">
        <f>'Income Statement'!E30</f>
        <v>-59951</v>
      </c>
      <c r="F18" s="45">
        <f>'Income Statement'!F30</f>
        <v>-62618</v>
      </c>
      <c r="G18" s="46">
        <f>'Income Statement'!G30</f>
        <v>-58617</v>
      </c>
      <c r="H18" s="15">
        <f ca="1">-H17*H34</f>
        <v>-71861.001067490899</v>
      </c>
      <c r="I18" s="15">
        <f ca="1">-I17*I34</f>
        <v>-76756.514868795173</v>
      </c>
      <c r="J18" s="15">
        <f ca="1">-J17*J34</f>
        <v>-81625.989047434414</v>
      </c>
      <c r="K18" s="15">
        <f ca="1">-K17*K34</f>
        <v>-86064.74200317754</v>
      </c>
      <c r="L18" s="15">
        <f ca="1">-L17*L34</f>
        <v>-92835.160460577492</v>
      </c>
    </row>
    <row r="19" spans="2:12" x14ac:dyDescent="0.25">
      <c r="B19" t="s">
        <v>34</v>
      </c>
      <c r="C19" s="45">
        <f>'Income Statement'!C31</f>
        <v>-58</v>
      </c>
      <c r="D19" s="45">
        <f>'Income Statement'!D31</f>
        <v>-10</v>
      </c>
      <c r="E19" s="45">
        <f>'Income Statement'!E31</f>
        <v>-55</v>
      </c>
      <c r="F19" s="45">
        <f>'Income Statement'!F31</f>
        <v>66</v>
      </c>
      <c r="G19" s="46">
        <f>'Income Statement'!G31</f>
        <v>6</v>
      </c>
      <c r="H19" s="43">
        <f>0</f>
        <v>0</v>
      </c>
      <c r="I19" s="15">
        <f>H19</f>
        <v>0</v>
      </c>
      <c r="J19" s="15">
        <f t="shared" ref="J19:L20" si="14">I19</f>
        <v>0</v>
      </c>
      <c r="K19" s="15">
        <f t="shared" si="14"/>
        <v>0</v>
      </c>
      <c r="L19" s="15">
        <f t="shared" si="14"/>
        <v>0</v>
      </c>
    </row>
    <row r="20" spans="2:12" x14ac:dyDescent="0.25">
      <c r="B20" t="s">
        <v>35</v>
      </c>
      <c r="C20" s="49">
        <f>'Income Statement'!C32</f>
        <v>-196</v>
      </c>
      <c r="D20" s="49">
        <f>'Income Statement'!D32</f>
        <v>-19</v>
      </c>
      <c r="E20" s="49" t="str">
        <f>'Income Statement'!E32</f>
        <v>-</v>
      </c>
      <c r="F20" s="49" t="str">
        <f>'Income Statement'!F32</f>
        <v>-</v>
      </c>
      <c r="G20" s="50" t="str">
        <f>'Income Statement'!G32</f>
        <v>-</v>
      </c>
      <c r="H20" s="75">
        <f>0</f>
        <v>0</v>
      </c>
      <c r="I20" s="17">
        <f>H20</f>
        <v>0</v>
      </c>
      <c r="J20" s="17">
        <f t="shared" si="14"/>
        <v>0</v>
      </c>
      <c r="K20" s="17">
        <f t="shared" si="14"/>
        <v>0</v>
      </c>
      <c r="L20" s="17">
        <f t="shared" si="14"/>
        <v>0</v>
      </c>
    </row>
    <row r="21" spans="2:12" x14ac:dyDescent="0.25">
      <c r="B21" t="s">
        <v>143</v>
      </c>
      <c r="C21" s="15">
        <f>SUM(C17:C20)</f>
        <v>97963</v>
      </c>
      <c r="D21" s="15">
        <f t="shared" ref="D21:G21" si="15">SUM(D17:D20)</f>
        <v>104534</v>
      </c>
      <c r="E21" s="15">
        <f t="shared" si="15"/>
        <v>109205</v>
      </c>
      <c r="F21" s="15">
        <f t="shared" si="15"/>
        <v>138875</v>
      </c>
      <c r="G21" s="30">
        <f t="shared" si="15"/>
        <v>147887</v>
      </c>
      <c r="H21" s="15">
        <f ca="1">SUM(H17:H20)</f>
        <v>150858.64405529777</v>
      </c>
      <c r="I21" s="15">
        <f ca="1">SUM(I17:I20)</f>
        <v>161135.85371071496</v>
      </c>
      <c r="J21" s="15">
        <f t="shared" ref="J21" ca="1" si="16">SUM(J17:J20)</f>
        <v>171358.39808025234</v>
      </c>
      <c r="K21" s="15">
        <f t="shared" ref="K21" ca="1" si="17">SUM(K17:K20)</f>
        <v>180676.7243247052</v>
      </c>
      <c r="L21" s="15">
        <f t="shared" ref="L21" ca="1" si="18">SUM(L17:L20)</f>
        <v>194889.94335864342</v>
      </c>
    </row>
    <row r="22" spans="2:12" x14ac:dyDescent="0.25">
      <c r="C22" s="15"/>
      <c r="D22" s="15"/>
      <c r="E22" s="15"/>
      <c r="F22" s="15"/>
      <c r="G22" s="14"/>
      <c r="H22" s="15"/>
      <c r="I22" s="15"/>
      <c r="J22" s="15"/>
      <c r="K22" s="15"/>
      <c r="L22" s="15"/>
    </row>
    <row r="23" spans="2:12" x14ac:dyDescent="0.25">
      <c r="B23" t="s">
        <v>347</v>
      </c>
      <c r="C23" s="66">
        <f>C10/C8</f>
        <v>0.17805413507829423</v>
      </c>
      <c r="D23" s="66">
        <f t="shared" ref="D23:L23" si="19">D10/D8</f>
        <v>0.16751904100570253</v>
      </c>
      <c r="E23" s="66">
        <f t="shared" si="19"/>
        <v>0.17211201126422931</v>
      </c>
      <c r="F23" s="66">
        <f t="shared" si="19"/>
        <v>0.17235278387951886</v>
      </c>
      <c r="G23" s="67">
        <f t="shared" si="19"/>
        <v>0.17350202861656738</v>
      </c>
      <c r="H23" s="66">
        <f t="shared" si="19"/>
        <v>0.17325783719340404</v>
      </c>
      <c r="I23" s="66">
        <f t="shared" si="19"/>
        <v>0.17370434018619768</v>
      </c>
      <c r="J23" s="66">
        <f t="shared" si="19"/>
        <v>0.17412665801342012</v>
      </c>
      <c r="K23" s="66">
        <f t="shared" si="19"/>
        <v>0.17458905868679495</v>
      </c>
      <c r="L23" s="66">
        <f t="shared" si="19"/>
        <v>0.17494983749238568</v>
      </c>
    </row>
    <row r="24" spans="2:12" x14ac:dyDescent="0.25">
      <c r="B24" t="s">
        <v>344</v>
      </c>
      <c r="C24" s="66">
        <f>C12/C8</f>
        <v>6.1888945766299407E-2</v>
      </c>
      <c r="D24" s="66">
        <f t="shared" ref="D24:L24" si="20">D12/D8</f>
        <v>5.8089915798777841E-2</v>
      </c>
      <c r="E24" s="66">
        <f t="shared" si="20"/>
        <v>6.1852623008711555E-2</v>
      </c>
      <c r="F24" s="66">
        <f t="shared" si="20"/>
        <v>6.2215984133166785E-2</v>
      </c>
      <c r="G24" s="67">
        <f t="shared" si="20"/>
        <v>6.1315414867362895E-2</v>
      </c>
      <c r="H24" s="66">
        <f t="shared" si="20"/>
        <v>5.7816300622429963E-2</v>
      </c>
      <c r="I24" s="66">
        <f t="shared" si="20"/>
        <v>5.7854598965832428E-2</v>
      </c>
      <c r="J24" s="66">
        <f t="shared" si="20"/>
        <v>5.0625664120521822E-2</v>
      </c>
      <c r="K24" s="66">
        <f t="shared" si="20"/>
        <v>5.1533366608425828E-2</v>
      </c>
      <c r="L24" s="66">
        <f t="shared" si="20"/>
        <v>4.9483203604303999E-2</v>
      </c>
    </row>
    <row r="25" spans="2:12" x14ac:dyDescent="0.25">
      <c r="B25" t="s">
        <v>419</v>
      </c>
      <c r="C25" s="66">
        <f>C11/-C8</f>
        <v>0.11616518931199482</v>
      </c>
      <c r="D25" s="66">
        <f t="shared" ref="D25:L25" si="21">D11/-D8</f>
        <v>0.10942912520692469</v>
      </c>
      <c r="E25" s="66">
        <f t="shared" si="21"/>
        <v>0.11025938825551776</v>
      </c>
      <c r="F25" s="66">
        <f t="shared" si="21"/>
        <v>0.11013679974635208</v>
      </c>
      <c r="G25" s="67">
        <f t="shared" si="21"/>
        <v>0.11218661374920447</v>
      </c>
      <c r="H25" s="66">
        <f t="shared" si="21"/>
        <v>0.11544153657097406</v>
      </c>
      <c r="I25" s="66">
        <f t="shared" si="21"/>
        <v>0.11584974122036525</v>
      </c>
      <c r="J25" s="66">
        <f t="shared" si="21"/>
        <v>0.12350099389289829</v>
      </c>
      <c r="K25" s="66">
        <f t="shared" si="21"/>
        <v>0.12305569207836912</v>
      </c>
      <c r="L25" s="66">
        <f t="shared" si="21"/>
        <v>0.12546663388808169</v>
      </c>
    </row>
    <row r="26" spans="2:12" x14ac:dyDescent="0.25">
      <c r="B26" t="s">
        <v>396</v>
      </c>
      <c r="C26" s="68"/>
      <c r="D26" s="66">
        <f t="shared" ref="D26:L26" si="22">D12/C12-1</f>
        <v>5.4318618042226596E-2</v>
      </c>
      <c r="E26" s="66">
        <f t="shared" si="22"/>
        <v>0.15531395137151294</v>
      </c>
      <c r="F26" s="66">
        <f t="shared" si="22"/>
        <v>0.12034051098635312</v>
      </c>
      <c r="G26" s="67">
        <f t="shared" si="22"/>
        <v>5.6963329549952091E-2</v>
      </c>
      <c r="H26" s="66">
        <f t="shared" si="22"/>
        <v>2.7800078207154577E-2</v>
      </c>
      <c r="I26" s="66">
        <f t="shared" si="22"/>
        <v>9.7736497066302608E-2</v>
      </c>
      <c r="J26" s="66">
        <f t="shared" si="22"/>
        <v>-7.8953955913634855E-2</v>
      </c>
      <c r="K26" s="66">
        <f t="shared" si="22"/>
        <v>8.3903238467854191E-2</v>
      </c>
      <c r="L26" s="66">
        <f t="shared" si="22"/>
        <v>1.4842298137290433E-2</v>
      </c>
    </row>
    <row r="27" spans="2:12" x14ac:dyDescent="0.25">
      <c r="B27" t="s">
        <v>398</v>
      </c>
      <c r="C27" s="68"/>
      <c r="D27" s="66">
        <f>D11/C11-1</f>
        <v>5.8135138155970267E-2</v>
      </c>
      <c r="E27" s="66">
        <f t="shared" ref="E27:L27" si="23">E11/D11-1</f>
        <v>9.3264621338625231E-2</v>
      </c>
      <c r="F27" s="66">
        <f t="shared" si="23"/>
        <v>0.11255902492974568</v>
      </c>
      <c r="G27" s="67">
        <f t="shared" si="23"/>
        <v>9.2448092298425211E-2</v>
      </c>
      <c r="H27" s="66">
        <f t="shared" si="23"/>
        <v>0.12162860579767787</v>
      </c>
      <c r="I27" s="66">
        <f t="shared" si="23"/>
        <v>0.10088888090289538</v>
      </c>
      <c r="J27" s="66">
        <f t="shared" si="23"/>
        <v>0.12208015175143982</v>
      </c>
      <c r="K27" s="66">
        <f t="shared" si="23"/>
        <v>6.0972156385538101E-2</v>
      </c>
      <c r="L27" s="66">
        <f t="shared" si="23"/>
        <v>7.7595591655408525E-2</v>
      </c>
    </row>
    <row r="28" spans="2:12" x14ac:dyDescent="0.25">
      <c r="B28" t="s">
        <v>397</v>
      </c>
      <c r="C28" s="68"/>
      <c r="D28" s="66">
        <f>D13/C13-1</f>
        <v>4.4396226705446074E-2</v>
      </c>
      <c r="E28" s="66">
        <f t="shared" ref="E28:L28" si="24">E13/D13-1</f>
        <v>7.1167560558731635E-2</v>
      </c>
      <c r="F28" s="66">
        <f t="shared" si="24"/>
        <v>0.13635863435032602</v>
      </c>
      <c r="G28" s="67">
        <f t="shared" si="24"/>
        <v>6.7182336492718875E-2</v>
      </c>
      <c r="H28" s="66">
        <f t="shared" si="24"/>
        <v>8.1868850790223213E-4</v>
      </c>
      <c r="I28" s="66">
        <f t="shared" si="24"/>
        <v>0.19821337906573322</v>
      </c>
      <c r="J28" s="66">
        <f t="shared" si="24"/>
        <v>-0.40269899544750498</v>
      </c>
      <c r="K28" s="66">
        <f t="shared" si="24"/>
        <v>0.25285109180595167</v>
      </c>
      <c r="L28" s="66">
        <f t="shared" si="24"/>
        <v>-0.17296447015747718</v>
      </c>
    </row>
    <row r="29" spans="2:12" x14ac:dyDescent="0.25">
      <c r="B29" t="s">
        <v>425</v>
      </c>
      <c r="C29" s="66">
        <f>C21/C8</f>
        <v>2.7062566594223937E-2</v>
      </c>
      <c r="D29" s="66">
        <f t="shared" ref="D29:L29" si="25">D21/D8</f>
        <v>2.5708708580939984E-2</v>
      </c>
      <c r="E29" s="66">
        <f t="shared" si="25"/>
        <v>2.4752699666035185E-2</v>
      </c>
      <c r="F29" s="66">
        <f t="shared" si="25"/>
        <v>2.8261677389314958E-2</v>
      </c>
      <c r="G29" s="67">
        <f t="shared" si="25"/>
        <v>2.8061548807288825E-2</v>
      </c>
      <c r="H29" s="66">
        <f t="shared" ca="1" si="25"/>
        <v>2.6261759552193006E-2</v>
      </c>
      <c r="I29" s="66">
        <f t="shared" ca="1" si="25"/>
        <v>2.5570268544551605E-2</v>
      </c>
      <c r="J29" s="66">
        <f t="shared" ca="1" si="25"/>
        <v>2.5834496551916407E-2</v>
      </c>
      <c r="K29" s="66">
        <f t="shared" ca="1" si="25"/>
        <v>2.5581386848641037E-2</v>
      </c>
      <c r="L29" s="66">
        <f t="shared" ca="1" si="25"/>
        <v>2.6108507123519871E-2</v>
      </c>
    </row>
    <row r="30" spans="2:12" x14ac:dyDescent="0.25">
      <c r="B30" t="s">
        <v>431</v>
      </c>
      <c r="C30" s="66">
        <f t="shared" ref="C30:G30" si="26">C18/-C21</f>
        <v>0.49987240080438533</v>
      </c>
      <c r="D30" s="66">
        <f t="shared" si="26"/>
        <v>0.4960873974018023</v>
      </c>
      <c r="E30" s="66">
        <f t="shared" si="26"/>
        <v>0.54897669520626347</v>
      </c>
      <c r="F30" s="66">
        <f t="shared" si="26"/>
        <v>0.4508946894689469</v>
      </c>
      <c r="G30" s="67">
        <f t="shared" si="26"/>
        <v>0.39636343965324877</v>
      </c>
      <c r="H30" s="66">
        <f ca="1">H18/-H21</f>
        <v>0.47634659264967272</v>
      </c>
      <c r="I30" s="66">
        <f t="shared" ref="I30:L30" ca="1" si="27">I18/-I21</f>
        <v>0.47634659264967261</v>
      </c>
      <c r="J30" s="66">
        <f t="shared" ca="1" si="27"/>
        <v>0.47634659264967266</v>
      </c>
      <c r="K30" s="66">
        <f t="shared" ca="1" si="27"/>
        <v>0.47634659264967261</v>
      </c>
      <c r="L30" s="66">
        <f t="shared" ca="1" si="27"/>
        <v>0.47634659264967266</v>
      </c>
    </row>
    <row r="31" spans="2:12" x14ac:dyDescent="0.25">
      <c r="C31" s="66"/>
      <c r="D31" s="66"/>
      <c r="E31" s="66"/>
      <c r="F31" s="66"/>
      <c r="G31" s="67"/>
      <c r="H31" s="66"/>
      <c r="I31" s="66"/>
      <c r="J31" s="66"/>
      <c r="K31" s="66"/>
      <c r="L31" s="66"/>
    </row>
    <row r="32" spans="2:12" x14ac:dyDescent="0.25">
      <c r="D32" s="34"/>
      <c r="E32" s="34"/>
      <c r="F32" s="34"/>
      <c r="G32" s="35"/>
    </row>
    <row r="33" spans="1:12" x14ac:dyDescent="0.25">
      <c r="B33" s="37" t="s">
        <v>144</v>
      </c>
    </row>
    <row r="34" spans="1:12" x14ac:dyDescent="0.25">
      <c r="B34" t="s">
        <v>170</v>
      </c>
      <c r="C34" s="34">
        <f>-C18/C17</f>
        <v>0.33270147976030329</v>
      </c>
      <c r="D34" s="34">
        <f>-D18/D17</f>
        <v>0.33152837534602131</v>
      </c>
      <c r="E34" s="34">
        <f>-E18/E17</f>
        <v>0.3542972974570211</v>
      </c>
      <c r="F34" s="34">
        <f>-F18/F17</f>
        <v>0.31087192878809694</v>
      </c>
      <c r="G34" s="35">
        <f>-G18/G17</f>
        <v>0.28386231343644974</v>
      </c>
      <c r="H34" s="41" cm="1">
        <f t="array" ref="H34">CHOOSE(_xlfn.IFS($N$4="Base",1,$N$4="Bull",2,$N$4="Bear",3),H38,H39,H40)</f>
        <v>0.32265227895757848</v>
      </c>
      <c r="I34" s="214" cm="1">
        <f t="array" ref="I34">CHOOSE(_xlfn.IFS($N$4="Base",1,$N$4="Bull",2,$N$4="Bear",3),I38,I39,I40)</f>
        <v>0.32265227895757848</v>
      </c>
      <c r="J34" s="214" cm="1">
        <f t="array" ref="J34">CHOOSE(_xlfn.IFS($N$4="Base",1,$N$4="Bull",2,$N$4="Bear",3),J38,J39,J40)</f>
        <v>0.32265227895757848</v>
      </c>
      <c r="K34" s="214" cm="1">
        <f t="array" ref="K34">CHOOSE(_xlfn.IFS($N$4="Base",1,$N$4="Bull",2,$N$4="Bear",3),K38,K39,K40)</f>
        <v>0.32265227895757848</v>
      </c>
      <c r="L34" s="214" cm="1">
        <f t="array" ref="L34">CHOOSE(_xlfn.IFS($N$4="Base",1,$N$4="Bull",2,$N$4="Bear",3),L38,L39,L40)</f>
        <v>0.32265227895757848</v>
      </c>
    </row>
    <row r="35" spans="1:12" x14ac:dyDescent="0.25">
      <c r="C35" s="34"/>
      <c r="D35" s="34"/>
      <c r="E35" s="34"/>
      <c r="F35" s="34"/>
      <c r="G35" s="35"/>
      <c r="H35" s="147"/>
      <c r="I35" s="20"/>
      <c r="J35" s="20"/>
      <c r="K35" s="20"/>
      <c r="L35" s="20"/>
    </row>
    <row r="36" spans="1:12" x14ac:dyDescent="0.25">
      <c r="B36" s="141" t="s">
        <v>357</v>
      </c>
    </row>
    <row r="37" spans="1:12" x14ac:dyDescent="0.25">
      <c r="B37" t="s">
        <v>429</v>
      </c>
    </row>
    <row r="38" spans="1:12" x14ac:dyDescent="0.25">
      <c r="B38" s="215" t="s">
        <v>345</v>
      </c>
      <c r="C38" s="215"/>
      <c r="D38" s="215"/>
      <c r="E38" s="215"/>
      <c r="F38" s="215"/>
      <c r="G38" s="273"/>
      <c r="H38" s="214">
        <f>AVERAGE(C34:G34)</f>
        <v>0.32265227895757848</v>
      </c>
      <c r="I38" s="214">
        <f>H38</f>
        <v>0.32265227895757848</v>
      </c>
      <c r="J38" s="214">
        <f t="shared" ref="J38:L38" si="28">I38</f>
        <v>0.32265227895757848</v>
      </c>
      <c r="K38" s="214">
        <f t="shared" si="28"/>
        <v>0.32265227895757848</v>
      </c>
      <c r="L38" s="214">
        <f t="shared" si="28"/>
        <v>0.32265227895757848</v>
      </c>
    </row>
    <row r="39" spans="1:12" x14ac:dyDescent="0.25">
      <c r="B39" s="215" t="s">
        <v>426</v>
      </c>
      <c r="C39" s="215"/>
      <c r="D39" s="215"/>
      <c r="E39" s="215"/>
      <c r="F39" s="215"/>
      <c r="G39" s="273"/>
      <c r="H39" s="214">
        <f>MIN(C34:G34)</f>
        <v>0.28386231343644974</v>
      </c>
      <c r="I39" s="214">
        <f>H39</f>
        <v>0.28386231343644974</v>
      </c>
      <c r="J39" s="214">
        <f t="shared" ref="J39:L40" si="29">I39</f>
        <v>0.28386231343644974</v>
      </c>
      <c r="K39" s="214">
        <f t="shared" si="29"/>
        <v>0.28386231343644974</v>
      </c>
      <c r="L39" s="214">
        <f t="shared" si="29"/>
        <v>0.28386231343644974</v>
      </c>
    </row>
    <row r="40" spans="1:12" x14ac:dyDescent="0.25">
      <c r="B40" s="215" t="s">
        <v>427</v>
      </c>
      <c r="C40" s="215"/>
      <c r="D40" s="215"/>
      <c r="E40" s="215"/>
      <c r="F40" s="215"/>
      <c r="G40" s="273"/>
      <c r="H40" s="214">
        <f>MAX(C34:G34)</f>
        <v>0.3542972974570211</v>
      </c>
      <c r="I40" s="214">
        <f>H40</f>
        <v>0.3542972974570211</v>
      </c>
      <c r="J40" s="214">
        <f t="shared" si="29"/>
        <v>0.3542972974570211</v>
      </c>
      <c r="K40" s="214">
        <f t="shared" si="29"/>
        <v>0.3542972974570211</v>
      </c>
      <c r="L40" s="214">
        <f t="shared" si="29"/>
        <v>0.3542972974570211</v>
      </c>
    </row>
    <row r="41" spans="1:12" x14ac:dyDescent="0.25">
      <c r="B41" s="29"/>
      <c r="C41" s="29"/>
      <c r="D41" s="29"/>
      <c r="E41" s="29"/>
      <c r="F41" s="29"/>
      <c r="G41" s="29"/>
      <c r="H41" s="29"/>
      <c r="I41" s="29"/>
      <c r="J41" s="29"/>
      <c r="K41" s="29"/>
      <c r="L41" s="29"/>
    </row>
    <row r="42" spans="1:12" x14ac:dyDescent="0.25">
      <c r="B42" s="137"/>
      <c r="C42" s="137" t="s">
        <v>133</v>
      </c>
      <c r="D42" s="138"/>
      <c r="E42" s="138"/>
      <c r="F42" s="138"/>
      <c r="G42" s="139"/>
      <c r="H42" s="138"/>
      <c r="I42" s="138"/>
      <c r="J42" s="138"/>
      <c r="K42" s="138"/>
      <c r="L42" s="138"/>
    </row>
    <row r="43" spans="1:12" x14ac:dyDescent="0.25">
      <c r="C43" s="23">
        <f>$C$7</f>
        <v>2021</v>
      </c>
      <c r="D43" s="23">
        <f>$D$7</f>
        <v>2022</v>
      </c>
      <c r="E43" s="23">
        <f>$E$7</f>
        <v>2023</v>
      </c>
      <c r="F43" s="23">
        <f>$F$7</f>
        <v>2024</v>
      </c>
      <c r="G43" s="27">
        <f>$G$7</f>
        <v>2025</v>
      </c>
      <c r="H43" s="24">
        <f>$H$7</f>
        <v>2026</v>
      </c>
      <c r="I43" s="24">
        <f>$I$7</f>
        <v>2027</v>
      </c>
      <c r="J43" s="24">
        <f>$J$7</f>
        <v>2028</v>
      </c>
      <c r="K43" s="24">
        <f>$K$7</f>
        <v>2029</v>
      </c>
      <c r="L43" s="24">
        <f>L7</f>
        <v>2030</v>
      </c>
    </row>
    <row r="44" spans="1:12" x14ac:dyDescent="0.25">
      <c r="B44" t="s">
        <v>101</v>
      </c>
    </row>
    <row r="45" spans="1:12" x14ac:dyDescent="0.25">
      <c r="B45" t="s">
        <v>102</v>
      </c>
      <c r="C45" s="45">
        <f>'Cash Flow'!C7</f>
        <v>98159</v>
      </c>
      <c r="D45" s="45">
        <f>'Cash Flow'!D7</f>
        <v>104553</v>
      </c>
      <c r="E45" s="45">
        <f>'Cash Flow'!E7</f>
        <v>109205</v>
      </c>
      <c r="F45" s="45">
        <f>'Cash Flow'!F7</f>
        <v>138875</v>
      </c>
      <c r="G45" s="46">
        <f>'Cash Flow'!G7</f>
        <v>147887</v>
      </c>
      <c r="H45" s="15">
        <f ca="1">H21</f>
        <v>150858.64405529777</v>
      </c>
      <c r="I45" s="15">
        <f ca="1">I21</f>
        <v>161135.85371071496</v>
      </c>
      <c r="J45" s="15">
        <f ca="1">J21</f>
        <v>171358.39808025234</v>
      </c>
      <c r="K45" s="15">
        <f ca="1">K21</f>
        <v>180676.7243247052</v>
      </c>
      <c r="L45" s="15">
        <f ca="1">L21</f>
        <v>194889.94335864342</v>
      </c>
    </row>
    <row r="46" spans="1:12" x14ac:dyDescent="0.25">
      <c r="A46" s="15"/>
      <c r="B46" t="s">
        <v>103</v>
      </c>
      <c r="C46" s="45">
        <f>'Cash Flow'!C8</f>
        <v>64983</v>
      </c>
      <c r="D46" s="45">
        <f>'Cash Flow'!D8</f>
        <v>67868</v>
      </c>
      <c r="E46" s="45">
        <f>'Cash Flow'!E8</f>
        <v>72698</v>
      </c>
      <c r="F46" s="45">
        <f>'Cash Flow'!F8</f>
        <v>82611</v>
      </c>
      <c r="G46" s="46">
        <f>'Cash Flow'!G8</f>
        <v>88161</v>
      </c>
      <c r="H46" s="15">
        <f>-H379</f>
        <v>88233.176397545161</v>
      </c>
      <c r="I46" s="15">
        <f t="shared" ref="I46:L46" si="30">-I379</f>
        <v>105722.17243700549</v>
      </c>
      <c r="J46" s="15">
        <f t="shared" si="30"/>
        <v>63147.959800095479</v>
      </c>
      <c r="K46" s="15">
        <f t="shared" si="30"/>
        <v>79114.990380867966</v>
      </c>
      <c r="L46" s="15">
        <f t="shared" si="30"/>
        <v>65430.907988127234</v>
      </c>
    </row>
    <row r="47" spans="1:12" x14ac:dyDescent="0.25">
      <c r="A47" s="15"/>
      <c r="B47" t="s">
        <v>104</v>
      </c>
      <c r="C47" s="45">
        <f>'Cash Flow'!C9</f>
        <v>1027</v>
      </c>
      <c r="D47" s="45">
        <f>'Cash Flow'!D9</f>
        <v>1265</v>
      </c>
      <c r="E47" s="45">
        <f>'Cash Flow'!E9</f>
        <v>744</v>
      </c>
      <c r="F47" s="45">
        <f>'Cash Flow'!F9</f>
        <v>2168</v>
      </c>
      <c r="G47" s="46">
        <f>'Cash Flow'!G9</f>
        <v>2467</v>
      </c>
      <c r="H47" s="43">
        <v>0</v>
      </c>
      <c r="I47" s="15">
        <f>H47</f>
        <v>0</v>
      </c>
      <c r="J47" s="15">
        <f t="shared" ref="J47:L47" si="31">I47</f>
        <v>0</v>
      </c>
      <c r="K47" s="15">
        <f t="shared" si="31"/>
        <v>0</v>
      </c>
      <c r="L47" s="15">
        <f t="shared" si="31"/>
        <v>0</v>
      </c>
    </row>
    <row r="48" spans="1:12" x14ac:dyDescent="0.25">
      <c r="A48" s="15"/>
      <c r="B48" t="s">
        <v>193</v>
      </c>
      <c r="C48" s="15">
        <f>C87</f>
        <v>-3848</v>
      </c>
      <c r="D48" s="15">
        <f t="shared" ref="D48:L48" si="32">D87</f>
        <v>-3227</v>
      </c>
      <c r="E48" s="15">
        <f t="shared" si="32"/>
        <v>7273</v>
      </c>
      <c r="F48" s="15">
        <f t="shared" si="32"/>
        <v>-4700</v>
      </c>
      <c r="G48" s="14">
        <f t="shared" si="32"/>
        <v>-4456</v>
      </c>
      <c r="H48" s="15">
        <f t="shared" si="32"/>
        <v>0</v>
      </c>
      <c r="I48" s="15">
        <f t="shared" si="32"/>
        <v>0</v>
      </c>
      <c r="J48" s="15">
        <f t="shared" si="32"/>
        <v>0</v>
      </c>
      <c r="K48" s="15">
        <f t="shared" si="32"/>
        <v>0</v>
      </c>
      <c r="L48" s="15">
        <f t="shared" si="32"/>
        <v>0</v>
      </c>
    </row>
    <row r="49" spans="1:12" x14ac:dyDescent="0.25">
      <c r="A49" s="15"/>
      <c r="B49" t="s">
        <v>106</v>
      </c>
      <c r="C49" s="15">
        <f>'Cash Flow'!C12</f>
        <v>18424</v>
      </c>
      <c r="D49" s="15">
        <f>'Cash Flow'!D12</f>
        <v>16803</v>
      </c>
      <c r="E49" s="15">
        <f>'Cash Flow'!E12</f>
        <v>16574</v>
      </c>
      <c r="F49" s="15">
        <f>'Cash Flow'!F12</f>
        <v>17293</v>
      </c>
      <c r="G49" s="14">
        <f>'Cash Flow'!G12</f>
        <v>18812</v>
      </c>
      <c r="H49" s="15">
        <f>H407</f>
        <v>19376.36</v>
      </c>
      <c r="I49" s="15">
        <f t="shared" ref="I49:L49" si="33">I407</f>
        <v>19957.650799999999</v>
      </c>
      <c r="J49" s="15">
        <f t="shared" si="33"/>
        <v>20556.380324000002</v>
      </c>
      <c r="K49" s="15">
        <f t="shared" si="33"/>
        <v>21173.071733720004</v>
      </c>
      <c r="L49" s="15">
        <f t="shared" si="33"/>
        <v>21808.263885731605</v>
      </c>
    </row>
    <row r="50" spans="1:12" x14ac:dyDescent="0.25">
      <c r="B50" t="s">
        <v>195</v>
      </c>
      <c r="C50" s="17">
        <f>C361</f>
        <v>-51579</v>
      </c>
      <c r="D50" s="17">
        <f t="shared" ref="D50:G50" si="34">D361</f>
        <v>-65433</v>
      </c>
      <c r="E50" s="17">
        <f t="shared" si="34"/>
        <v>50837</v>
      </c>
      <c r="F50" s="17">
        <f t="shared" si="34"/>
        <v>-28658</v>
      </c>
      <c r="G50" s="16">
        <f t="shared" si="34"/>
        <v>8436</v>
      </c>
      <c r="H50" s="17">
        <f t="shared" ref="H50:L50" si="35">-H361</f>
        <v>25897.285153403529</v>
      </c>
      <c r="I50" s="17">
        <f t="shared" si="35"/>
        <v>6167.9120482632425</v>
      </c>
      <c r="J50" s="17">
        <f t="shared" si="35"/>
        <v>4197.3384254332632</v>
      </c>
      <c r="K50" s="17">
        <f t="shared" si="35"/>
        <v>5584.4308394730324</v>
      </c>
      <c r="L50" s="17">
        <f t="shared" si="35"/>
        <v>4557.706429726677</v>
      </c>
    </row>
    <row r="51" spans="1:12" x14ac:dyDescent="0.25">
      <c r="B51" t="s">
        <v>110</v>
      </c>
      <c r="C51" s="15">
        <f>SUM(C45:C50)</f>
        <v>127166</v>
      </c>
      <c r="D51" s="15">
        <f t="shared" ref="D51:G51" si="36">SUM(D45:D50)</f>
        <v>121829</v>
      </c>
      <c r="E51" s="15">
        <f t="shared" si="36"/>
        <v>257331</v>
      </c>
      <c r="F51" s="15">
        <f t="shared" si="36"/>
        <v>207589</v>
      </c>
      <c r="G51" s="14">
        <f t="shared" si="36"/>
        <v>261307</v>
      </c>
      <c r="H51" s="15">
        <f ca="1">SUM(H45:H50)</f>
        <v>284365.46560624643</v>
      </c>
      <c r="I51" s="15">
        <f t="shared" ref="I51:L51" ca="1" si="37">SUM(I45:I50)</f>
        <v>292983.58899598371</v>
      </c>
      <c r="J51" s="15">
        <f t="shared" ca="1" si="37"/>
        <v>259260.07662978108</v>
      </c>
      <c r="K51" s="15">
        <f t="shared" ca="1" si="37"/>
        <v>286549.21727876621</v>
      </c>
      <c r="L51" s="15">
        <f t="shared" ca="1" si="37"/>
        <v>286686.8216622289</v>
      </c>
    </row>
    <row r="52" spans="1:12" x14ac:dyDescent="0.25">
      <c r="A52" s="15"/>
      <c r="B52" t="s">
        <v>337</v>
      </c>
      <c r="C52" s="66">
        <f t="shared" ref="C52:L52" si="38">C51/C8</f>
        <v>3.5129981151262021E-2</v>
      </c>
      <c r="D52" s="66">
        <f t="shared" si="38"/>
        <v>2.996217745142573E-2</v>
      </c>
      <c r="E52" s="66">
        <f t="shared" si="38"/>
        <v>5.8327338105036403E-2</v>
      </c>
      <c r="F52" s="66">
        <f t="shared" si="38"/>
        <v>4.2245280630570682E-2</v>
      </c>
      <c r="G52" s="67">
        <f t="shared" si="38"/>
        <v>4.9582986565325018E-2</v>
      </c>
      <c r="H52" s="66">
        <f t="shared" ca="1" si="38"/>
        <v>4.9502880855546168E-2</v>
      </c>
      <c r="I52" s="66">
        <f t="shared" ca="1" si="38"/>
        <v>4.6492874659810543E-2</v>
      </c>
      <c r="J52" s="66">
        <f t="shared" ca="1" si="38"/>
        <v>3.908681238140925E-2</v>
      </c>
      <c r="K52" s="66">
        <f t="shared" ca="1" si="38"/>
        <v>4.0571503638784347E-2</v>
      </c>
      <c r="L52" s="66">
        <f t="shared" ca="1" si="38"/>
        <v>3.8406111657662473E-2</v>
      </c>
    </row>
    <row r="54" spans="1:12" x14ac:dyDescent="0.25">
      <c r="B54" t="s">
        <v>111</v>
      </c>
    </row>
    <row r="55" spans="1:12" x14ac:dyDescent="0.25">
      <c r="B55" t="s">
        <v>112</v>
      </c>
      <c r="C55" s="85">
        <f>'Cash Flow'!C22</f>
        <v>-113174</v>
      </c>
      <c r="D55" s="85">
        <f>'Cash Flow'!D22</f>
        <v>-120660</v>
      </c>
      <c r="E55" s="85">
        <f>'Cash Flow'!E22</f>
        <v>-142511</v>
      </c>
      <c r="F55" s="85">
        <f>'Cash Flow'!F22</f>
        <v>-168545</v>
      </c>
      <c r="G55" s="86">
        <f>'Cash Flow'!G22</f>
        <v>-158134</v>
      </c>
      <c r="H55" s="15">
        <f>-H377</f>
        <v>-154740.76785714284</v>
      </c>
      <c r="I55" s="15">
        <f t="shared" ref="I55:L55" si="39">-I377</f>
        <v>-185412.45833333331</v>
      </c>
      <c r="J55" s="15">
        <f t="shared" si="39"/>
        <v>-110747.04761904762</v>
      </c>
      <c r="K55" s="15">
        <f t="shared" si="39"/>
        <v>-138749.55952380953</v>
      </c>
      <c r="L55" s="15">
        <f t="shared" si="39"/>
        <v>-114750.81547619047</v>
      </c>
    </row>
    <row r="56" spans="1:12" x14ac:dyDescent="0.25">
      <c r="B56" t="s">
        <v>113</v>
      </c>
      <c r="C56" s="85">
        <f>'Cash Flow'!C23</f>
        <v>385</v>
      </c>
      <c r="D56" s="85">
        <f>'Cash Flow'!D23</f>
        <v>193</v>
      </c>
      <c r="E56" s="85">
        <f>'Cash Flow'!E23</f>
        <v>361</v>
      </c>
      <c r="F56" s="85">
        <f>'Cash Flow'!F23</f>
        <v>1660</v>
      </c>
      <c r="G56" s="86">
        <f>'Cash Flow'!G23</f>
        <v>2403</v>
      </c>
      <c r="H56" s="15">
        <f>H391</f>
        <v>1158.9485566256508</v>
      </c>
      <c r="I56" s="15">
        <f t="shared" ref="I56:L56" si="40">I391</f>
        <v>1234.966984528867</v>
      </c>
      <c r="J56" s="15">
        <f t="shared" si="40"/>
        <v>1326.2320780240102</v>
      </c>
      <c r="K56" s="15">
        <f t="shared" si="40"/>
        <v>1380.060123898513</v>
      </c>
      <c r="L56" s="15">
        <f t="shared" si="40"/>
        <v>1447.826124800423</v>
      </c>
    </row>
    <row r="57" spans="1:12" x14ac:dyDescent="0.25">
      <c r="B57" t="s">
        <v>114</v>
      </c>
      <c r="C57" s="85" t="str">
        <f>'Cash Flow'!C24</f>
        <v>-</v>
      </c>
      <c r="D57" s="85">
        <f>'Cash Flow'!D24</f>
        <v>4959</v>
      </c>
      <c r="E57" s="85" t="str">
        <f>'Cash Flow'!E24</f>
        <v>-</v>
      </c>
      <c r="F57" s="85" t="str">
        <f>'Cash Flow'!F24</f>
        <v>-</v>
      </c>
      <c r="G57" s="86" t="str">
        <f>'Cash Flow'!G24</f>
        <v>-</v>
      </c>
      <c r="H57" s="44">
        <v>0</v>
      </c>
      <c r="I57">
        <f t="shared" ref="I57:L57" si="41">H57</f>
        <v>0</v>
      </c>
      <c r="J57">
        <f t="shared" si="41"/>
        <v>0</v>
      </c>
      <c r="K57">
        <f t="shared" si="41"/>
        <v>0</v>
      </c>
      <c r="L57">
        <f t="shared" si="41"/>
        <v>0</v>
      </c>
    </row>
    <row r="58" spans="1:12" x14ac:dyDescent="0.25">
      <c r="B58" t="s">
        <v>115</v>
      </c>
      <c r="C58" s="85">
        <f>'Cash Flow'!C25</f>
        <v>-69460</v>
      </c>
      <c r="D58" s="85">
        <f>'Cash Flow'!D25</f>
        <v>-22469</v>
      </c>
      <c r="E58" s="85">
        <f>'Cash Flow'!E25</f>
        <v>-138784</v>
      </c>
      <c r="F58" s="85">
        <f>'Cash Flow'!F25</f>
        <v>-183692</v>
      </c>
      <c r="G58" s="86">
        <f>'Cash Flow'!G25</f>
        <v>-79563</v>
      </c>
      <c r="H58" s="44">
        <v>0</v>
      </c>
      <c r="I58">
        <f t="shared" ref="I58:L58" si="42">H58</f>
        <v>0</v>
      </c>
      <c r="J58">
        <f t="shared" si="42"/>
        <v>0</v>
      </c>
      <c r="K58">
        <f t="shared" si="42"/>
        <v>0</v>
      </c>
      <c r="L58">
        <f t="shared" si="42"/>
        <v>0</v>
      </c>
    </row>
    <row r="59" spans="1:12" x14ac:dyDescent="0.25">
      <c r="B59" t="s">
        <v>116</v>
      </c>
      <c r="C59" s="85">
        <f>'Cash Flow'!C26</f>
        <v>65528</v>
      </c>
      <c r="D59" s="85">
        <f>'Cash Flow'!D26</f>
        <v>61733</v>
      </c>
      <c r="E59" s="85">
        <f>'Cash Flow'!E26</f>
        <v>58852</v>
      </c>
      <c r="F59" s="85">
        <f>'Cash Flow'!F26</f>
        <v>175127</v>
      </c>
      <c r="G59" s="86">
        <f>'Cash Flow'!G26</f>
        <v>106413</v>
      </c>
      <c r="H59" s="44">
        <v>0</v>
      </c>
      <c r="I59">
        <f t="shared" ref="I59:L59" si="43">H59</f>
        <v>0</v>
      </c>
      <c r="J59">
        <f t="shared" si="43"/>
        <v>0</v>
      </c>
      <c r="K59">
        <f t="shared" si="43"/>
        <v>0</v>
      </c>
      <c r="L59">
        <f t="shared" si="43"/>
        <v>0</v>
      </c>
    </row>
    <row r="60" spans="1:12" x14ac:dyDescent="0.25">
      <c r="B60" t="s">
        <v>117</v>
      </c>
      <c r="C60" s="85">
        <f>'Cash Flow'!C27</f>
        <v>-1478</v>
      </c>
      <c r="D60" s="85" t="str">
        <f>'Cash Flow'!D27</f>
        <v>-</v>
      </c>
      <c r="E60" s="85" t="str">
        <f>'Cash Flow'!E27</f>
        <v>-</v>
      </c>
      <c r="F60" s="85" t="str">
        <f>'Cash Flow'!F27</f>
        <v>-</v>
      </c>
      <c r="G60" s="86" t="str">
        <f>'Cash Flow'!G27</f>
        <v>-</v>
      </c>
      <c r="H60" s="44">
        <v>0</v>
      </c>
      <c r="I60">
        <f t="shared" ref="I60:L60" si="44">H60</f>
        <v>0</v>
      </c>
      <c r="J60">
        <f t="shared" si="44"/>
        <v>0</v>
      </c>
      <c r="K60">
        <f t="shared" si="44"/>
        <v>0</v>
      </c>
      <c r="L60">
        <f t="shared" si="44"/>
        <v>0</v>
      </c>
    </row>
    <row r="61" spans="1:12" x14ac:dyDescent="0.25">
      <c r="B61" t="s">
        <v>118</v>
      </c>
      <c r="C61" s="166">
        <f>'Cash Flow'!C28</f>
        <v>1478</v>
      </c>
      <c r="D61" s="166">
        <f>'Cash Flow'!D28</f>
        <v>1488</v>
      </c>
      <c r="E61" s="166" t="str">
        <f>'Cash Flow'!E28</f>
        <v>-</v>
      </c>
      <c r="F61" s="166" t="str">
        <f>'Cash Flow'!F28</f>
        <v>-</v>
      </c>
      <c r="G61" s="167" t="str">
        <f>'Cash Flow'!G28</f>
        <v>-</v>
      </c>
      <c r="H61" s="168">
        <v>0</v>
      </c>
      <c r="I61" s="25">
        <f t="shared" ref="I61:L61" si="45">H61</f>
        <v>0</v>
      </c>
      <c r="J61" s="25">
        <f t="shared" si="45"/>
        <v>0</v>
      </c>
      <c r="K61" s="25">
        <f t="shared" si="45"/>
        <v>0</v>
      </c>
      <c r="L61" s="25">
        <f t="shared" si="45"/>
        <v>0</v>
      </c>
    </row>
    <row r="62" spans="1:12" x14ac:dyDescent="0.25">
      <c r="B62" t="s">
        <v>119</v>
      </c>
      <c r="C62" s="15">
        <f>SUM(C55:C61)</f>
        <v>-116721</v>
      </c>
      <c r="D62" s="15">
        <f t="shared" ref="D62:G62" si="46">SUM(D55:D61)</f>
        <v>-74756</v>
      </c>
      <c r="E62" s="15">
        <f t="shared" si="46"/>
        <v>-222082</v>
      </c>
      <c r="F62" s="15">
        <f t="shared" si="46"/>
        <v>-175450</v>
      </c>
      <c r="G62" s="30">
        <f t="shared" si="46"/>
        <v>-128881</v>
      </c>
      <c r="H62" s="15">
        <f>SUM(H55:H61)</f>
        <v>-153581.81930051718</v>
      </c>
      <c r="I62" s="15">
        <f t="shared" ref="I62:L62" si="47">SUM(I55:I61)</f>
        <v>-184177.49134880444</v>
      </c>
      <c r="J62" s="15">
        <f t="shared" si="47"/>
        <v>-109420.81554102361</v>
      </c>
      <c r="K62" s="15">
        <f t="shared" si="47"/>
        <v>-137369.499399911</v>
      </c>
      <c r="L62" s="15">
        <f t="shared" si="47"/>
        <v>-113302.98935139005</v>
      </c>
    </row>
    <row r="63" spans="1:12" x14ac:dyDescent="0.25">
      <c r="C63" s="102"/>
      <c r="G63" s="111"/>
      <c r="H63" s="15"/>
    </row>
    <row r="64" spans="1:12" x14ac:dyDescent="0.25">
      <c r="B64" t="s">
        <v>120</v>
      </c>
    </row>
    <row r="65" spans="2:12" x14ac:dyDescent="0.25">
      <c r="B65" t="s">
        <v>121</v>
      </c>
      <c r="C65" s="45">
        <f>'Cash Flow'!C32</f>
        <v>17565</v>
      </c>
      <c r="D65" s="45">
        <f>'Cash Flow'!D32</f>
        <v>30633</v>
      </c>
      <c r="E65" s="45">
        <f>'Cash Flow'!E32</f>
        <v>38713</v>
      </c>
      <c r="F65" s="45">
        <f>'Cash Flow'!F32</f>
        <v>16500</v>
      </c>
      <c r="G65" s="46">
        <f>'Cash Flow'!G32</f>
        <v>92930</v>
      </c>
      <c r="H65" s="15">
        <f>H318</f>
        <v>38675</v>
      </c>
      <c r="I65" s="15">
        <f t="shared" ref="I65:L65" si="48">I318</f>
        <v>53418</v>
      </c>
      <c r="J65" s="15">
        <f t="shared" si="48"/>
        <v>32437</v>
      </c>
      <c r="K65" s="15">
        <f t="shared" si="48"/>
        <v>17934</v>
      </c>
      <c r="L65" s="15">
        <f t="shared" si="48"/>
        <v>3729</v>
      </c>
    </row>
    <row r="66" spans="2:12" x14ac:dyDescent="0.25">
      <c r="B66" t="s">
        <v>122</v>
      </c>
      <c r="C66" s="45">
        <f>'Cash Flow'!C33</f>
        <v>-19993</v>
      </c>
      <c r="D66" s="45">
        <f>'Cash Flow'!D33</f>
        <v>-22697</v>
      </c>
      <c r="E66" s="45">
        <f>'Cash Flow'!E33</f>
        <v>-35984</v>
      </c>
      <c r="F66" s="45">
        <f>'Cash Flow'!F33</f>
        <v>-26320</v>
      </c>
      <c r="G66" s="46">
        <f>'Cash Flow'!G33</f>
        <v>-37372</v>
      </c>
      <c r="H66" s="15">
        <f>H319</f>
        <v>-38675</v>
      </c>
      <c r="I66" s="15">
        <f t="shared" ref="I66:L66" si="49">I319</f>
        <v>-53418</v>
      </c>
      <c r="J66" s="15">
        <f t="shared" si="49"/>
        <v>-32437</v>
      </c>
      <c r="K66" s="15">
        <f t="shared" si="49"/>
        <v>-17934</v>
      </c>
      <c r="L66" s="15">
        <f t="shared" si="49"/>
        <v>-3729</v>
      </c>
    </row>
    <row r="67" spans="2:12" x14ac:dyDescent="0.25">
      <c r="B67" t="s">
        <v>207</v>
      </c>
      <c r="C67" s="45">
        <f>'Cash Flow'!C35</f>
        <v>-64983</v>
      </c>
      <c r="D67" s="45">
        <f>'Cash Flow'!D34+'Cash Flow'!D35</f>
        <v>12673</v>
      </c>
      <c r="E67" s="45">
        <f>'Cash Flow'!E34+'Cash Flow'!E35</f>
        <v>-2381</v>
      </c>
      <c r="F67" s="45">
        <f>'Cash Flow'!F34+'Cash Flow'!F35</f>
        <v>-558</v>
      </c>
      <c r="G67" s="46">
        <f>'Cash Flow'!G34+'Cash Flow'!G35</f>
        <v>4083</v>
      </c>
      <c r="H67" s="15">
        <f ca="1">H324</f>
        <v>-12286</v>
      </c>
      <c r="I67" s="15">
        <f t="shared" ref="I67:L67" ca="1" si="50">I324</f>
        <v>0</v>
      </c>
      <c r="J67" s="15">
        <f t="shared" ca="1" si="50"/>
        <v>0</v>
      </c>
      <c r="K67" s="15">
        <f t="shared" ca="1" si="50"/>
        <v>0</v>
      </c>
      <c r="L67" s="15">
        <f t="shared" ca="1" si="50"/>
        <v>0</v>
      </c>
    </row>
    <row r="68" spans="2:12" x14ac:dyDescent="0.25">
      <c r="B68" t="s">
        <v>125</v>
      </c>
      <c r="C68" s="45">
        <f>'Cash Flow'!C36</f>
        <v>-5542</v>
      </c>
      <c r="D68" s="45">
        <f>'Cash Flow'!D36</f>
        <v>-6259</v>
      </c>
      <c r="E68" s="45">
        <f>'Cash Flow'!E36</f>
        <v>-12863</v>
      </c>
      <c r="F68" s="45">
        <f>'Cash Flow'!F36</f>
        <v>-73486</v>
      </c>
      <c r="G68" s="46">
        <f>'Cash Flow'!G36</f>
        <v>-6710</v>
      </c>
      <c r="H68" s="15">
        <f>H310</f>
        <v>-5000</v>
      </c>
      <c r="I68" s="15">
        <f t="shared" ref="I68:L68" si="51">I310</f>
        <v>-5000</v>
      </c>
      <c r="J68" s="15">
        <f t="shared" si="51"/>
        <v>-5000</v>
      </c>
      <c r="K68" s="15">
        <f t="shared" si="51"/>
        <v>-5000</v>
      </c>
      <c r="L68" s="15">
        <f t="shared" si="51"/>
        <v>-5000</v>
      </c>
    </row>
    <row r="69" spans="2:12" x14ac:dyDescent="0.25">
      <c r="B69" t="s">
        <v>127</v>
      </c>
      <c r="C69" s="45">
        <f>'Cash Flow'!C38</f>
        <v>-21988</v>
      </c>
      <c r="D69" s="45">
        <f>'Cash Flow'!D38</f>
        <v>-26559</v>
      </c>
      <c r="E69" s="45">
        <f>'Cash Flow'!E38</f>
        <v>-28540</v>
      </c>
      <c r="F69" s="45">
        <f>'Cash Flow'!F38</f>
        <v>-66162</v>
      </c>
      <c r="G69" s="46">
        <f>'Cash Flow'!G38</f>
        <v>-38733</v>
      </c>
      <c r="H69" s="15">
        <f ca="1">H309</f>
        <v>-47284.275886423267</v>
      </c>
      <c r="I69" s="15">
        <f t="shared" ref="I69:L69" ca="1" si="52">I309</f>
        <v>-50505.50606340426</v>
      </c>
      <c r="J69" s="15">
        <f t="shared" ca="1" si="52"/>
        <v>-53709.602263905894</v>
      </c>
      <c r="K69" s="15">
        <f t="shared" ca="1" si="52"/>
        <v>-56630.285475011115</v>
      </c>
      <c r="L69" s="15">
        <f t="shared" ca="1" si="52"/>
        <v>-61085.19605864695</v>
      </c>
    </row>
    <row r="70" spans="2:12" x14ac:dyDescent="0.25">
      <c r="B70" t="s">
        <v>128</v>
      </c>
      <c r="C70" s="49">
        <f>'Cash Flow'!C39</f>
        <v>-196</v>
      </c>
      <c r="D70" s="49" t="str">
        <f>'Cash Flow'!D39</f>
        <v>-</v>
      </c>
      <c r="E70" s="49" t="str">
        <f>'Cash Flow'!E39</f>
        <v>-</v>
      </c>
      <c r="F70" s="49" t="str">
        <f>'Cash Flow'!F39</f>
        <v>-</v>
      </c>
      <c r="G70" s="50" t="str">
        <f>'Cash Flow'!G39</f>
        <v>-</v>
      </c>
      <c r="H70" s="145">
        <v>0</v>
      </c>
      <c r="I70" s="17">
        <f>H70</f>
        <v>0</v>
      </c>
      <c r="J70" s="17">
        <f t="shared" ref="J70:L70" si="53">I70</f>
        <v>0</v>
      </c>
      <c r="K70" s="17">
        <f t="shared" si="53"/>
        <v>0</v>
      </c>
      <c r="L70" s="17">
        <f t="shared" si="53"/>
        <v>0</v>
      </c>
    </row>
    <row r="71" spans="2:12" x14ac:dyDescent="0.25">
      <c r="B71" t="s">
        <v>129</v>
      </c>
      <c r="C71" s="15">
        <f>'Cash Flow'!C40</f>
        <v>-95137</v>
      </c>
      <c r="D71" s="15">
        <f>'Cash Flow'!D40</f>
        <v>-12209</v>
      </c>
      <c r="E71" s="15">
        <f>'Cash Flow'!E40</f>
        <v>-41055</v>
      </c>
      <c r="F71" s="15">
        <f>'Cash Flow'!F40</f>
        <v>-150026</v>
      </c>
      <c r="G71" s="14">
        <f>'Cash Flow'!G40</f>
        <v>14198</v>
      </c>
      <c r="H71" s="15">
        <f ca="1">SUM(H65:H70)</f>
        <v>-64570.275886423267</v>
      </c>
      <c r="I71" s="15">
        <f t="shared" ref="I71:L71" ca="1" si="54">SUM(I65:I70)</f>
        <v>-55505.50606340426</v>
      </c>
      <c r="J71" s="15">
        <f t="shared" ca="1" si="54"/>
        <v>-58709.602263905894</v>
      </c>
      <c r="K71" s="15">
        <f t="shared" ca="1" si="54"/>
        <v>-61630.285475011115</v>
      </c>
      <c r="L71" s="15">
        <f t="shared" ca="1" si="54"/>
        <v>-66085.19605864695</v>
      </c>
    </row>
    <row r="73" spans="2:12" x14ac:dyDescent="0.25">
      <c r="B73" t="s">
        <v>130</v>
      </c>
    </row>
    <row r="74" spans="2:12" x14ac:dyDescent="0.25">
      <c r="B74" t="s">
        <v>131</v>
      </c>
      <c r="C74" s="15">
        <f>'Cash Flow'!C43</f>
        <v>-3600</v>
      </c>
      <c r="D74" s="15">
        <f>'Cash Flow'!D43</f>
        <v>1030</v>
      </c>
      <c r="E74" s="15">
        <f>'Cash Flow'!E43</f>
        <v>6635</v>
      </c>
      <c r="F74" s="15">
        <f>'Cash Flow'!F43</f>
        <v>1996</v>
      </c>
      <c r="G74" s="14">
        <f>'Cash Flow'!G43</f>
        <v>2356</v>
      </c>
      <c r="H74" s="59">
        <v>0</v>
      </c>
      <c r="I74" s="15">
        <f>H74</f>
        <v>0</v>
      </c>
      <c r="J74" s="15">
        <f t="shared" ref="J74:L74" si="55">I74</f>
        <v>0</v>
      </c>
      <c r="K74" s="15">
        <f t="shared" si="55"/>
        <v>0</v>
      </c>
      <c r="L74" s="15">
        <f t="shared" si="55"/>
        <v>0</v>
      </c>
    </row>
    <row r="76" spans="2:12" x14ac:dyDescent="0.25">
      <c r="B76" t="s">
        <v>197</v>
      </c>
      <c r="C76" s="45">
        <f>'Balance Sheet'!B7+'Balance Sheet'!B12+'Balance Sheet'!B25</f>
        <v>303771</v>
      </c>
      <c r="D76" s="45">
        <f>'Balance Sheet'!C7+'Balance Sheet'!C12+'Balance Sheet'!C25</f>
        <v>215479</v>
      </c>
      <c r="E76" s="45">
        <f>'Balance Sheet'!D7+'Balance Sheet'!D12+'Balance Sheet'!D25</f>
        <v>251373</v>
      </c>
      <c r="F76" s="45">
        <f>'Balance Sheet'!E7+'Balance Sheet'!E12+'Balance Sheet'!$E$26</f>
        <v>252202</v>
      </c>
      <c r="G76" s="46">
        <f>'Balance Sheet'!F7+'Balance Sheet'!F12+'Balance Sheet'!F25</f>
        <v>136311</v>
      </c>
      <c r="H76" s="15">
        <f>G78</f>
        <v>285291</v>
      </c>
      <c r="I76" s="15">
        <f t="shared" ref="I76:L76" ca="1" si="56">H78</f>
        <v>351504.37041930598</v>
      </c>
      <c r="J76" s="15">
        <f t="shared" ca="1" si="56"/>
        <v>404804.96200308099</v>
      </c>
      <c r="K76" s="15">
        <f t="shared" ca="1" si="56"/>
        <v>495934.62082793261</v>
      </c>
      <c r="L76" s="15">
        <f t="shared" ca="1" si="56"/>
        <v>583484.05323177669</v>
      </c>
    </row>
    <row r="77" spans="2:12" x14ac:dyDescent="0.25">
      <c r="B77" t="s">
        <v>132</v>
      </c>
      <c r="C77" s="17">
        <f>SUM(C51,C62,C71,C74)</f>
        <v>-88292</v>
      </c>
      <c r="D77" s="17">
        <f>SUM(D51,D62,D71,D74)</f>
        <v>35894</v>
      </c>
      <c r="E77" s="17">
        <f>SUM(E51,E62,E71,E74)</f>
        <v>829</v>
      </c>
      <c r="F77" s="17">
        <f>SUM(F51,F62,F71,F74)</f>
        <v>-115891</v>
      </c>
      <c r="G77" s="16">
        <f>SUM(G51,G62,G71,G74)</f>
        <v>148980</v>
      </c>
      <c r="H77" s="17">
        <f ca="1">SUM(H51,H62,H71)</f>
        <v>66213.370419305982</v>
      </c>
      <c r="I77" s="17">
        <f t="shared" ref="I77:L77" ca="1" si="57">SUM(I51,I62,I71)</f>
        <v>53300.591583775007</v>
      </c>
      <c r="J77" s="17">
        <f t="shared" ca="1" si="57"/>
        <v>91129.658824851591</v>
      </c>
      <c r="K77" s="17">
        <f t="shared" ca="1" si="57"/>
        <v>87549.432403844097</v>
      </c>
      <c r="L77" s="17">
        <f t="shared" ca="1" si="57"/>
        <v>107298.63625219191</v>
      </c>
    </row>
    <row r="78" spans="2:12" x14ac:dyDescent="0.25">
      <c r="B78" t="s">
        <v>198</v>
      </c>
      <c r="C78" s="15">
        <f>C76+C77</f>
        <v>215479</v>
      </c>
      <c r="D78" s="15">
        <f t="shared" ref="D78:E78" si="58">D76+D77</f>
        <v>251373</v>
      </c>
      <c r="E78" s="15">
        <f t="shared" si="58"/>
        <v>252202</v>
      </c>
      <c r="F78" s="15">
        <f>F76+F77</f>
        <v>136311</v>
      </c>
      <c r="G78" s="14">
        <f>G76+G77</f>
        <v>285291</v>
      </c>
      <c r="H78" s="15">
        <f ca="1">SUM(H76:H77)</f>
        <v>351504.37041930598</v>
      </c>
      <c r="I78" s="15">
        <f t="shared" ref="I78:L78" ca="1" si="59">SUM(I76:I77)</f>
        <v>404804.96200308099</v>
      </c>
      <c r="J78" s="15">
        <f t="shared" ca="1" si="59"/>
        <v>495934.62082793261</v>
      </c>
      <c r="K78" s="15">
        <f t="shared" ca="1" si="59"/>
        <v>583484.05323177669</v>
      </c>
      <c r="L78" s="15">
        <f t="shared" ca="1" si="59"/>
        <v>690782.68948396854</v>
      </c>
    </row>
    <row r="80" spans="2:12" hidden="1" outlineLevel="1" x14ac:dyDescent="0.25">
      <c r="C80" s="173" t="s">
        <v>196</v>
      </c>
      <c r="D80" s="158"/>
      <c r="E80" s="158"/>
      <c r="F80" s="158"/>
      <c r="G80" s="159"/>
      <c r="H80" s="158"/>
      <c r="I80" s="158"/>
      <c r="J80" s="158"/>
      <c r="K80" s="158"/>
      <c r="L80" s="158"/>
    </row>
    <row r="81" spans="2:12" hidden="1" outlineLevel="1" x14ac:dyDescent="0.25">
      <c r="C81" s="23">
        <f>$C$7</f>
        <v>2021</v>
      </c>
      <c r="D81" s="23">
        <f>$D$7</f>
        <v>2022</v>
      </c>
      <c r="E81" s="23">
        <f>$E$7</f>
        <v>2023</v>
      </c>
      <c r="F81" s="23">
        <f>$F$7</f>
        <v>2024</v>
      </c>
      <c r="G81" s="27">
        <f>$G$7</f>
        <v>2025</v>
      </c>
      <c r="H81" s="24">
        <f>$H$7</f>
        <v>2026</v>
      </c>
      <c r="I81" s="24">
        <f>$I$7</f>
        <v>2027</v>
      </c>
      <c r="J81" s="24">
        <f>$J$7</f>
        <v>2028</v>
      </c>
      <c r="K81" s="24">
        <f>$K$7</f>
        <v>2029</v>
      </c>
      <c r="L81" s="24">
        <f>$L$7</f>
        <v>2030</v>
      </c>
    </row>
    <row r="82" spans="2:12" hidden="1" outlineLevel="1" x14ac:dyDescent="0.25">
      <c r="B82" t="s">
        <v>24</v>
      </c>
      <c r="C82" s="15" t="str">
        <f>'Cash Flow'!C10</f>
        <v>-</v>
      </c>
      <c r="D82" s="15" t="str">
        <f>'Cash Flow'!D10</f>
        <v>-</v>
      </c>
      <c r="E82" s="15">
        <f>'Cash Flow'!E10</f>
        <v>5658</v>
      </c>
      <c r="F82" s="15" t="str">
        <f>'Cash Flow'!F10</f>
        <v>-</v>
      </c>
      <c r="G82" s="14" t="str">
        <f>'Cash Flow'!G10</f>
        <v>-</v>
      </c>
      <c r="H82" s="43"/>
      <c r="I82" s="31"/>
      <c r="J82" s="31"/>
      <c r="K82" s="31"/>
      <c r="L82" s="31"/>
    </row>
    <row r="83" spans="2:12" hidden="1" outlineLevel="1" x14ac:dyDescent="0.25">
      <c r="B83" t="s">
        <v>105</v>
      </c>
      <c r="C83" s="15">
        <f>'Cash Flow'!C11</f>
        <v>58</v>
      </c>
      <c r="D83" s="15">
        <f>'Cash Flow'!D11</f>
        <v>10</v>
      </c>
      <c r="E83" s="15">
        <f>'Cash Flow'!E11</f>
        <v>55</v>
      </c>
      <c r="F83" s="15">
        <f>'Cash Flow'!F11</f>
        <v>-66</v>
      </c>
      <c r="G83" s="14">
        <f>'Cash Flow'!G11</f>
        <v>-6</v>
      </c>
      <c r="H83" s="43"/>
      <c r="I83" s="31"/>
      <c r="J83" s="31"/>
      <c r="K83" s="31"/>
      <c r="L83" s="31"/>
    </row>
    <row r="84" spans="2:12" hidden="1" outlineLevel="1" x14ac:dyDescent="0.25">
      <c r="B84" t="s">
        <v>107</v>
      </c>
      <c r="C84" s="15">
        <f>'Cash Flow'!C13</f>
        <v>-53</v>
      </c>
      <c r="D84" s="15">
        <f>'Cash Flow'!D13</f>
        <v>63</v>
      </c>
      <c r="E84" s="15">
        <f>'Cash Flow'!E13</f>
        <v>-36</v>
      </c>
      <c r="F84" s="15">
        <f>'Cash Flow'!F13</f>
        <v>-15</v>
      </c>
      <c r="G84" s="14">
        <f>'Cash Flow'!G13</f>
        <v>-50</v>
      </c>
      <c r="H84" s="31"/>
      <c r="I84" s="31"/>
      <c r="J84" s="31"/>
      <c r="K84" s="31"/>
      <c r="L84" s="31"/>
    </row>
    <row r="85" spans="2:12" hidden="1" outlineLevel="1" x14ac:dyDescent="0.25">
      <c r="B85" t="s">
        <v>60</v>
      </c>
      <c r="C85" s="15">
        <f>'Cash Flow'!C14</f>
        <v>-3853</v>
      </c>
      <c r="D85" s="15">
        <f>'Cash Flow'!D14</f>
        <v>-3300</v>
      </c>
      <c r="E85" s="15">
        <f>'Cash Flow'!E14</f>
        <v>-5583</v>
      </c>
      <c r="F85" s="15">
        <f>'Cash Flow'!F14</f>
        <v>-4619</v>
      </c>
      <c r="G85" s="14">
        <f>'Cash Flow'!G14</f>
        <v>-4400</v>
      </c>
      <c r="H85" s="31"/>
      <c r="I85" s="31"/>
      <c r="J85" s="31"/>
      <c r="K85" s="31"/>
      <c r="L85" s="31"/>
    </row>
    <row r="86" spans="2:12" hidden="1" outlineLevel="1" x14ac:dyDescent="0.25">
      <c r="B86" t="s">
        <v>27</v>
      </c>
      <c r="C86" s="15" t="str">
        <f>'Cash Flow'!C15</f>
        <v>-</v>
      </c>
      <c r="D86" s="15" t="str">
        <f>'Cash Flow'!D15</f>
        <v>-</v>
      </c>
      <c r="E86" s="15">
        <f>'Cash Flow'!E15</f>
        <v>7179</v>
      </c>
      <c r="F86" s="15" t="str">
        <f>'Cash Flow'!F15</f>
        <v>-</v>
      </c>
      <c r="G86" s="14" t="str">
        <f>'Cash Flow'!G15</f>
        <v>-</v>
      </c>
      <c r="H86" s="43"/>
      <c r="I86" s="31"/>
      <c r="J86" s="31"/>
      <c r="K86" s="31"/>
      <c r="L86" s="31"/>
    </row>
    <row r="87" spans="2:12" hidden="1" outlineLevel="1" x14ac:dyDescent="0.25">
      <c r="B87" s="29" t="s">
        <v>194</v>
      </c>
      <c r="C87" s="128">
        <f t="shared" ref="C87:L87" si="60">SUM(C82:C86)</f>
        <v>-3848</v>
      </c>
      <c r="D87" s="128">
        <f t="shared" si="60"/>
        <v>-3227</v>
      </c>
      <c r="E87" s="128">
        <f t="shared" si="60"/>
        <v>7273</v>
      </c>
      <c r="F87" s="128">
        <f t="shared" si="60"/>
        <v>-4700</v>
      </c>
      <c r="G87" s="30">
        <f t="shared" si="60"/>
        <v>-4456</v>
      </c>
      <c r="H87" s="143">
        <f t="shared" si="60"/>
        <v>0</v>
      </c>
      <c r="I87" s="143">
        <f t="shared" si="60"/>
        <v>0</v>
      </c>
      <c r="J87" s="143">
        <f t="shared" si="60"/>
        <v>0</v>
      </c>
      <c r="K87" s="143">
        <f t="shared" si="60"/>
        <v>0</v>
      </c>
      <c r="L87" s="143">
        <f t="shared" si="60"/>
        <v>0</v>
      </c>
    </row>
    <row r="88" spans="2:12" hidden="1" outlineLevel="1" x14ac:dyDescent="0.25">
      <c r="B88" s="29"/>
      <c r="C88" s="15"/>
      <c r="D88" s="15"/>
      <c r="E88" s="15"/>
      <c r="F88" s="15"/>
      <c r="G88" s="14"/>
      <c r="H88" s="15"/>
      <c r="I88" s="15"/>
      <c r="J88" s="15"/>
      <c r="K88" s="15"/>
      <c r="L88" s="15"/>
    </row>
    <row r="89" spans="2:12" hidden="1" outlineLevel="1" x14ac:dyDescent="0.25">
      <c r="B89" t="s">
        <v>310</v>
      </c>
      <c r="C89" s="15"/>
      <c r="D89" s="15"/>
      <c r="E89" s="15"/>
      <c r="F89" s="15"/>
      <c r="G89" s="14"/>
    </row>
    <row r="90" spans="2:12" hidden="1" outlineLevel="1" x14ac:dyDescent="0.25">
      <c r="B90" t="s">
        <v>108</v>
      </c>
      <c r="C90" s="31">
        <f>'Cash Flow'!C16</f>
        <v>13097</v>
      </c>
      <c r="D90" s="31">
        <f>'Cash Flow'!D16</f>
        <v>-13785</v>
      </c>
      <c r="E90" s="31">
        <f>'Cash Flow'!E16</f>
        <v>17589</v>
      </c>
      <c r="F90" s="31">
        <f>'Cash Flow'!F16</f>
        <v>-3879</v>
      </c>
      <c r="G90" s="32">
        <f>'Cash Flow'!G16</f>
        <v>15497</v>
      </c>
      <c r="H90" s="38"/>
      <c r="I90" s="38"/>
      <c r="J90" s="38"/>
      <c r="K90" s="38"/>
      <c r="L90" s="38"/>
    </row>
    <row r="91" spans="2:12" hidden="1" outlineLevel="1" x14ac:dyDescent="0.25">
      <c r="B91" t="s">
        <v>109</v>
      </c>
      <c r="C91" s="31">
        <f>'Cash Flow'!C17</f>
        <v>-80202</v>
      </c>
      <c r="D91" s="31">
        <f>'Cash Flow'!D17</f>
        <v>-74706</v>
      </c>
      <c r="E91" s="31">
        <f>'Cash Flow'!E17</f>
        <v>-10173</v>
      </c>
      <c r="F91" s="31">
        <f>'Cash Flow'!F17</f>
        <v>-57271</v>
      </c>
      <c r="G91" s="32">
        <f>'Cash Flow'!G17</f>
        <v>-32052</v>
      </c>
      <c r="H91" s="38"/>
      <c r="I91" s="38"/>
      <c r="J91" s="38"/>
      <c r="K91" s="38"/>
      <c r="L91" s="38"/>
    </row>
    <row r="92" spans="2:12" hidden="1" outlineLevel="1" x14ac:dyDescent="0.25">
      <c r="B92" t="s">
        <v>70</v>
      </c>
      <c r="C92" s="31">
        <f>'Cash Flow'!C18</f>
        <v>15526</v>
      </c>
      <c r="D92" s="31">
        <f>'Cash Flow'!D18</f>
        <v>23058</v>
      </c>
      <c r="E92" s="31">
        <f>'Cash Flow'!E18</f>
        <v>43421</v>
      </c>
      <c r="F92" s="31">
        <f>'Cash Flow'!F18</f>
        <v>32492</v>
      </c>
      <c r="G92" s="32">
        <f>'Cash Flow'!G18</f>
        <v>24991</v>
      </c>
      <c r="H92" s="38"/>
      <c r="I92" s="38"/>
      <c r="J92" s="38"/>
      <c r="K92" s="38"/>
      <c r="L92" s="38"/>
    </row>
    <row r="93" spans="2:12" hidden="1" outlineLevel="1" x14ac:dyDescent="0.25">
      <c r="C93" s="128">
        <f>-SUM(C90:C92)</f>
        <v>51579</v>
      </c>
      <c r="D93" s="128">
        <f t="shared" ref="D93:G93" si="61">-SUM(D90:D92)</f>
        <v>65433</v>
      </c>
      <c r="E93" s="128">
        <f t="shared" si="61"/>
        <v>-50837</v>
      </c>
      <c r="F93" s="128">
        <f t="shared" si="61"/>
        <v>28658</v>
      </c>
      <c r="G93" s="30">
        <f t="shared" si="61"/>
        <v>-8436</v>
      </c>
      <c r="H93" s="105"/>
      <c r="I93" s="105"/>
      <c r="J93" s="105"/>
      <c r="K93" s="105"/>
      <c r="L93" s="105"/>
    </row>
    <row r="94" spans="2:12" collapsed="1" x14ac:dyDescent="0.25"/>
    <row r="95" spans="2:12" x14ac:dyDescent="0.25">
      <c r="B95" s="37" t="s">
        <v>144</v>
      </c>
    </row>
    <row r="96" spans="2:12" x14ac:dyDescent="0.25">
      <c r="B96" t="s">
        <v>354</v>
      </c>
      <c r="C96" s="80">
        <f>C49/C8</f>
        <v>5.0896841351528825E-3</v>
      </c>
      <c r="D96" s="80">
        <f>D49/D8</f>
        <v>4.1324681948986409E-3</v>
      </c>
      <c r="E96" s="80">
        <f>E49/E8</f>
        <v>3.7567075158176561E-3</v>
      </c>
      <c r="F96" s="80">
        <f>F49/F8</f>
        <v>3.5192020672793777E-3</v>
      </c>
      <c r="G96" s="67">
        <f>G49/G8</f>
        <v>3.5695757988377435E-3</v>
      </c>
      <c r="H96" s="69">
        <f>AVERAGE(C96:G96)</f>
        <v>4.0135275423972602E-3</v>
      </c>
      <c r="I96" s="68">
        <f>H96</f>
        <v>4.0135275423972602E-3</v>
      </c>
      <c r="J96" s="68">
        <f t="shared" ref="J96:L96" si="62">I96</f>
        <v>4.0135275423972602E-3</v>
      </c>
      <c r="K96" s="68">
        <f t="shared" si="62"/>
        <v>4.0135275423972602E-3</v>
      </c>
      <c r="L96" s="68">
        <f t="shared" si="62"/>
        <v>4.0135275423972602E-3</v>
      </c>
    </row>
    <row r="97" spans="2:14" x14ac:dyDescent="0.25">
      <c r="B97" t="s">
        <v>355</v>
      </c>
      <c r="C97" s="80">
        <f>-C84/C8</f>
        <v>1.4641405729651693E-5</v>
      </c>
      <c r="D97" s="80">
        <f>-D84/D8</f>
        <v>-1.5493988947129346E-5</v>
      </c>
      <c r="E97" s="80">
        <f>-E84/E8</f>
        <v>8.1598570393046719E-6</v>
      </c>
      <c r="F97" s="80">
        <f>-F84/F8</f>
        <v>3.0525664146874843E-6</v>
      </c>
      <c r="G97" s="67">
        <f>-G84/G8</f>
        <v>9.4874968074573243E-6</v>
      </c>
      <c r="H97" s="69">
        <f t="shared" ref="H97:H98" si="63">AVERAGE(C97:G97)</f>
        <v>3.9694674087943655E-6</v>
      </c>
      <c r="I97" s="68">
        <f t="shared" ref="I97:L97" si="64">H97</f>
        <v>3.9694674087943655E-6</v>
      </c>
      <c r="J97" s="68">
        <f t="shared" si="64"/>
        <v>3.9694674087943655E-6</v>
      </c>
      <c r="K97" s="68">
        <f t="shared" si="64"/>
        <v>3.9694674087943655E-6</v>
      </c>
      <c r="L97" s="68">
        <f t="shared" si="64"/>
        <v>3.9694674087943655E-6</v>
      </c>
    </row>
    <row r="98" spans="2:14" x14ac:dyDescent="0.25">
      <c r="B98" t="s">
        <v>356</v>
      </c>
      <c r="C98" s="80">
        <f>C85/C18</f>
        <v>7.8682431742530992E-2</v>
      </c>
      <c r="D98" s="80">
        <f>D85/D18</f>
        <v>6.3635311813027881E-2</v>
      </c>
      <c r="E98" s="80">
        <f>E85/E18</f>
        <v>9.3126052943236975E-2</v>
      </c>
      <c r="F98" s="80">
        <f>F85/F18</f>
        <v>7.3764732185633522E-2</v>
      </c>
      <c r="G98" s="67">
        <f>G85/G18</f>
        <v>7.5063548117440329E-2</v>
      </c>
      <c r="H98" s="69">
        <f t="shared" si="63"/>
        <v>7.6854415360373934E-2</v>
      </c>
      <c r="I98" s="68">
        <f t="shared" ref="I98:L98" si="65">H98</f>
        <v>7.6854415360373934E-2</v>
      </c>
      <c r="J98" s="68">
        <f t="shared" si="65"/>
        <v>7.6854415360373934E-2</v>
      </c>
      <c r="K98" s="68">
        <f t="shared" si="65"/>
        <v>7.6854415360373934E-2</v>
      </c>
      <c r="L98" s="68">
        <f t="shared" si="65"/>
        <v>7.6854415360373934E-2</v>
      </c>
    </row>
    <row r="100" spans="2:14" x14ac:dyDescent="0.25">
      <c r="B100" s="137"/>
      <c r="C100" s="137" t="s">
        <v>44</v>
      </c>
      <c r="D100" s="138"/>
      <c r="E100" s="138"/>
      <c r="F100" s="138"/>
      <c r="G100" s="139"/>
      <c r="H100" s="138"/>
      <c r="I100" s="138"/>
      <c r="J100" s="138"/>
      <c r="K100" s="138"/>
      <c r="L100" s="138"/>
    </row>
    <row r="101" spans="2:14" x14ac:dyDescent="0.25">
      <c r="C101" s="23">
        <f t="shared" ref="C101:L101" si="66">C43</f>
        <v>2021</v>
      </c>
      <c r="D101" s="23">
        <f t="shared" si="66"/>
        <v>2022</v>
      </c>
      <c r="E101" s="23">
        <f t="shared" si="66"/>
        <v>2023</v>
      </c>
      <c r="F101" s="23">
        <f t="shared" si="66"/>
        <v>2024</v>
      </c>
      <c r="G101" s="27">
        <f t="shared" si="66"/>
        <v>2025</v>
      </c>
      <c r="H101" s="24">
        <f t="shared" si="66"/>
        <v>2026</v>
      </c>
      <c r="I101" s="24">
        <f t="shared" si="66"/>
        <v>2027</v>
      </c>
      <c r="J101" s="24">
        <f t="shared" si="66"/>
        <v>2028</v>
      </c>
      <c r="K101" s="24">
        <f t="shared" si="66"/>
        <v>2029</v>
      </c>
      <c r="L101" s="24">
        <f t="shared" si="66"/>
        <v>2030</v>
      </c>
    </row>
    <row r="102" spans="2:14" x14ac:dyDescent="0.25">
      <c r="B102" s="37" t="s">
        <v>148</v>
      </c>
      <c r="C102" s="15"/>
    </row>
    <row r="103" spans="2:14" x14ac:dyDescent="0.25">
      <c r="B103" t="s">
        <v>47</v>
      </c>
      <c r="C103" s="45">
        <f>'Balance Sheet'!C7</f>
        <v>202060</v>
      </c>
      <c r="D103" s="45">
        <f>'Balance Sheet'!D7</f>
        <v>237710</v>
      </c>
      <c r="E103" s="45">
        <f>'Balance Sheet'!E7</f>
        <v>239984</v>
      </c>
      <c r="F103" s="45">
        <f>'Balance Sheet'!F7</f>
        <v>125364</v>
      </c>
      <c r="G103" s="46">
        <f>'Balance Sheet'!G7</f>
        <v>241024</v>
      </c>
      <c r="H103" s="31">
        <f ca="1">H78-H104</f>
        <v>307237.37041930598</v>
      </c>
      <c r="I103" s="31">
        <f ca="1">I78-I104</f>
        <v>360537.96200308099</v>
      </c>
      <c r="J103" s="31">
        <f ca="1">J78-J104</f>
        <v>451667.62082793261</v>
      </c>
      <c r="K103" s="31">
        <f ca="1">K78-K104</f>
        <v>539217.05323177669</v>
      </c>
      <c r="L103" s="31">
        <f ca="1">L78-L104</f>
        <v>646515.68948396854</v>
      </c>
      <c r="N103" s="98" t="s">
        <v>210</v>
      </c>
    </row>
    <row r="104" spans="2:14" x14ac:dyDescent="0.25">
      <c r="B104" s="176" t="s">
        <v>205</v>
      </c>
      <c r="C104" s="45">
        <f>'Balance Sheet'!C12+'Balance Sheet'!C25</f>
        <v>13419</v>
      </c>
      <c r="D104" s="45">
        <f>'Balance Sheet'!D12+'Balance Sheet'!D25</f>
        <v>13663</v>
      </c>
      <c r="E104" s="45">
        <f>'Balance Sheet'!E12+'Balance Sheet'!$E$26</f>
        <v>12218</v>
      </c>
      <c r="F104" s="45">
        <f>'Balance Sheet'!F12+'Balance Sheet'!F25</f>
        <v>10947</v>
      </c>
      <c r="G104" s="46">
        <f>'Balance Sheet'!G12+'Balance Sheet'!G25</f>
        <v>44267</v>
      </c>
      <c r="H104" s="165">
        <f>G104</f>
        <v>44267</v>
      </c>
      <c r="I104" s="15">
        <f>H104</f>
        <v>44267</v>
      </c>
      <c r="J104" s="15">
        <f t="shared" ref="J104:L104" si="67">I104</f>
        <v>44267</v>
      </c>
      <c r="K104" s="15">
        <f t="shared" si="67"/>
        <v>44267</v>
      </c>
      <c r="L104" s="15">
        <f t="shared" si="67"/>
        <v>44267</v>
      </c>
      <c r="N104" s="98" t="s">
        <v>211</v>
      </c>
    </row>
    <row r="105" spans="2:14" x14ac:dyDescent="0.25">
      <c r="B105" t="s">
        <v>48</v>
      </c>
      <c r="C105" s="45">
        <f>'Balance Sheet'!C8</f>
        <v>50233</v>
      </c>
      <c r="D105" s="45">
        <f>'Balance Sheet'!D8</f>
        <v>11160</v>
      </c>
      <c r="E105" s="45">
        <f>'Balance Sheet'!E8</f>
        <v>91081</v>
      </c>
      <c r="F105" s="45">
        <f>'Balance Sheet'!F8</f>
        <v>100165</v>
      </c>
      <c r="G105" s="46">
        <f>'Balance Sheet'!G8</f>
        <v>73186</v>
      </c>
      <c r="H105" s="165">
        <f>G105</f>
        <v>73186</v>
      </c>
      <c r="I105" s="15">
        <f>H105</f>
        <v>73186</v>
      </c>
      <c r="J105" s="15">
        <f t="shared" ref="J105:L105" si="68">I105</f>
        <v>73186</v>
      </c>
      <c r="K105" s="15">
        <f t="shared" si="68"/>
        <v>73186</v>
      </c>
      <c r="L105" s="15">
        <f t="shared" si="68"/>
        <v>73186</v>
      </c>
    </row>
    <row r="106" spans="2:14" x14ac:dyDescent="0.25">
      <c r="B106" t="s">
        <v>49</v>
      </c>
      <c r="C106" s="45">
        <f>'Balance Sheet'!C9</f>
        <v>12359</v>
      </c>
      <c r="D106" s="45">
        <f>'Balance Sheet'!D9</f>
        <v>13391</v>
      </c>
      <c r="E106" s="45">
        <f>'Balance Sheet'!E9</f>
        <v>17904</v>
      </c>
      <c r="F106" s="45">
        <f>'Balance Sheet'!F9</f>
        <v>18847</v>
      </c>
      <c r="G106" s="46">
        <f>'Balance Sheet'!G9</f>
        <v>17400</v>
      </c>
      <c r="H106" s="15">
        <f>H344</f>
        <v>21187.953743958129</v>
      </c>
      <c r="I106" s="15">
        <f>I344</f>
        <v>23243.393367111548</v>
      </c>
      <c r="J106" s="15">
        <f>J344</f>
        <v>24465.158168784044</v>
      </c>
      <c r="K106" s="15">
        <f>K344</f>
        <v>26050.781715907502</v>
      </c>
      <c r="L106" s="15">
        <f>L344</f>
        <v>27532.777595842344</v>
      </c>
      <c r="M106" s="15"/>
    </row>
    <row r="107" spans="2:14" x14ac:dyDescent="0.25">
      <c r="B107" t="s">
        <v>50</v>
      </c>
      <c r="C107" s="45">
        <f>'Balance Sheet'!C10</f>
        <v>389711</v>
      </c>
      <c r="D107" s="45">
        <f>'Balance Sheet'!D10</f>
        <v>464411</v>
      </c>
      <c r="E107" s="45">
        <f>'Balance Sheet'!E10</f>
        <v>471407</v>
      </c>
      <c r="F107" s="45">
        <f>'Balance Sheet'!F10</f>
        <v>528678</v>
      </c>
      <c r="G107" s="46">
        <f>'Balance Sheet'!G10</f>
        <v>560730</v>
      </c>
      <c r="H107" s="15">
        <f t="shared" ref="H107:L107" si="69">H345</f>
        <v>624971.30963414838</v>
      </c>
      <c r="I107" s="15">
        <f t="shared" si="69"/>
        <v>685267.00187861966</v>
      </c>
      <c r="J107" s="15">
        <f t="shared" si="69"/>
        <v>720713.1411259321</v>
      </c>
      <c r="K107" s="15">
        <f t="shared" si="69"/>
        <v>766843.82010916353</v>
      </c>
      <c r="L107" s="15">
        <f t="shared" si="69"/>
        <v>809899.5320781417</v>
      </c>
    </row>
    <row r="108" spans="2:14" x14ac:dyDescent="0.25">
      <c r="B108" t="s">
        <v>51</v>
      </c>
      <c r="C108" s="45">
        <f>'Balance Sheet'!C11</f>
        <v>39194</v>
      </c>
      <c r="D108" s="45">
        <f>'Balance Sheet'!D11</f>
        <v>43894</v>
      </c>
      <c r="E108" s="45">
        <f>'Balance Sheet'!E11</f>
        <v>53866</v>
      </c>
      <c r="F108" s="45">
        <f>'Balance Sheet'!F11</f>
        <v>57910</v>
      </c>
      <c r="G108" s="46">
        <f>'Balance Sheet'!G11</f>
        <v>71059</v>
      </c>
      <c r="H108" s="15">
        <f t="shared" ref="H108:L108" si="70">H346</f>
        <v>67899.513446679717</v>
      </c>
      <c r="I108" s="15">
        <f t="shared" si="70"/>
        <v>74486.433166142524</v>
      </c>
      <c r="J108" s="15">
        <f t="shared" si="70"/>
        <v>78401.73506751172</v>
      </c>
      <c r="K108" s="15">
        <f t="shared" si="70"/>
        <v>83483.068954696661</v>
      </c>
      <c r="L108" s="15">
        <f t="shared" si="70"/>
        <v>88232.314700348434</v>
      </c>
    </row>
    <row r="109" spans="2:14" x14ac:dyDescent="0.25">
      <c r="B109" t="s">
        <v>55</v>
      </c>
      <c r="C109" s="45">
        <f>'Balance Sheet'!C16</f>
        <v>123655</v>
      </c>
      <c r="D109" s="45">
        <f>'Balance Sheet'!D16</f>
        <v>111810</v>
      </c>
      <c r="E109" s="45">
        <f>'Balance Sheet'!E16</f>
        <v>114201</v>
      </c>
      <c r="F109" s="45">
        <f>'Balance Sheet'!F16</f>
        <v>96415</v>
      </c>
      <c r="G109" s="46">
        <f>'Balance Sheet'!G16</f>
        <v>113479</v>
      </c>
      <c r="H109" s="15">
        <f t="shared" ref="H109:L109" si="71">H444</f>
        <v>97460</v>
      </c>
      <c r="I109" s="15">
        <f t="shared" si="71"/>
        <v>108772</v>
      </c>
      <c r="J109" s="15">
        <f t="shared" si="71"/>
        <v>106787.4</v>
      </c>
      <c r="K109" s="15">
        <f t="shared" si="71"/>
        <v>104974.79999999999</v>
      </c>
      <c r="L109" s="15">
        <f t="shared" si="71"/>
        <v>102933.19999999998</v>
      </c>
    </row>
    <row r="110" spans="2:14" x14ac:dyDescent="0.25">
      <c r="B110" t="s">
        <v>57</v>
      </c>
      <c r="C110" s="45">
        <f>'Balance Sheet'!C18</f>
        <v>730204</v>
      </c>
      <c r="D110" s="45">
        <f>'Balance Sheet'!D18</f>
        <v>757241</v>
      </c>
      <c r="E110" s="45">
        <f>'Balance Sheet'!E17</f>
        <v>850328</v>
      </c>
      <c r="F110" s="45">
        <f>'Balance Sheet'!F18</f>
        <v>936108</v>
      </c>
      <c r="G110" s="46">
        <f>'Balance Sheet'!G18</f>
        <v>996281</v>
      </c>
      <c r="H110" s="15">
        <f>H380</f>
        <v>1061629.6429029717</v>
      </c>
      <c r="I110" s="15">
        <f t="shared" ref="I110:L110" si="72">I380</f>
        <v>1140084.9618147707</v>
      </c>
      <c r="J110" s="15">
        <f t="shared" si="72"/>
        <v>1186357.8175556988</v>
      </c>
      <c r="K110" s="15">
        <f t="shared" si="72"/>
        <v>1244612.3265747419</v>
      </c>
      <c r="L110" s="15">
        <f t="shared" si="72"/>
        <v>1292484.4079380047</v>
      </c>
    </row>
    <row r="111" spans="2:14" x14ac:dyDescent="0.25">
      <c r="B111" t="s">
        <v>59</v>
      </c>
      <c r="C111" s="45">
        <f>'Balance Sheet'!C20</f>
        <v>10544</v>
      </c>
      <c r="D111" s="45">
        <f>'Balance Sheet'!D20</f>
        <v>10534</v>
      </c>
      <c r="E111" s="45">
        <f>'Balance Sheet'!E19</f>
        <v>10479</v>
      </c>
      <c r="F111" s="45">
        <f>'Balance Sheet'!F20</f>
        <v>6882</v>
      </c>
      <c r="G111" s="46">
        <f>'Balance Sheet'!G20</f>
        <v>6889</v>
      </c>
      <c r="H111" s="93">
        <f t="shared" ref="H111:I113" si="73">G111</f>
        <v>6889</v>
      </c>
      <c r="I111" s="15">
        <f t="shared" si="73"/>
        <v>6889</v>
      </c>
      <c r="J111" s="15">
        <f t="shared" ref="J111:L111" si="74">I111</f>
        <v>6889</v>
      </c>
      <c r="K111" s="15">
        <f t="shared" si="74"/>
        <v>6889</v>
      </c>
      <c r="L111" s="15">
        <f t="shared" si="74"/>
        <v>6889</v>
      </c>
    </row>
    <row r="112" spans="2:14" x14ac:dyDescent="0.25">
      <c r="B112" t="s">
        <v>60</v>
      </c>
      <c r="C112" s="45">
        <f>'Balance Sheet'!C21</f>
        <v>24225</v>
      </c>
      <c r="D112" s="45">
        <f>'Balance Sheet'!D21</f>
        <v>28355</v>
      </c>
      <c r="E112" s="45">
        <f>'Balance Sheet'!E22</f>
        <v>32039</v>
      </c>
      <c r="F112" s="45">
        <f>'Balance Sheet'!F21</f>
        <v>36618</v>
      </c>
      <c r="G112" s="46">
        <f>'Balance Sheet'!G21</f>
        <v>41229</v>
      </c>
      <c r="H112" s="165">
        <f t="shared" si="73"/>
        <v>41229</v>
      </c>
      <c r="I112" s="15">
        <f t="shared" si="73"/>
        <v>41229</v>
      </c>
      <c r="J112" s="15">
        <f t="shared" ref="J112:L112" si="75">I112</f>
        <v>41229</v>
      </c>
      <c r="K112" s="15">
        <f t="shared" si="75"/>
        <v>41229</v>
      </c>
      <c r="L112" s="15">
        <f t="shared" si="75"/>
        <v>41229</v>
      </c>
    </row>
    <row r="113" spans="2:14" x14ac:dyDescent="0.25">
      <c r="B113" t="s">
        <v>62</v>
      </c>
      <c r="C113" s="45">
        <f>'Balance Sheet'!C23</f>
        <v>45095</v>
      </c>
      <c r="D113" s="45">
        <f>'Balance Sheet'!D23</f>
        <v>43303</v>
      </c>
      <c r="E113" s="45">
        <f>'Balance Sheet'!E23</f>
        <v>43110</v>
      </c>
      <c r="F113" s="45">
        <f>'Balance Sheet'!F23</f>
        <v>43197</v>
      </c>
      <c r="G113" s="46">
        <f>'Balance Sheet'!G23</f>
        <v>43238</v>
      </c>
      <c r="H113" s="93">
        <f t="shared" si="73"/>
        <v>43238</v>
      </c>
      <c r="I113" s="15">
        <f t="shared" si="73"/>
        <v>43238</v>
      </c>
      <c r="J113" s="15">
        <f t="shared" ref="J113:L113" si="76">I113</f>
        <v>43238</v>
      </c>
      <c r="K113" s="15">
        <f t="shared" si="76"/>
        <v>43238</v>
      </c>
      <c r="L113" s="15">
        <f t="shared" si="76"/>
        <v>43238</v>
      </c>
    </row>
    <row r="114" spans="2:14" x14ac:dyDescent="0.25">
      <c r="B114" t="s">
        <v>63</v>
      </c>
      <c r="C114" s="45">
        <f>'Balance Sheet'!C24</f>
        <v>7762</v>
      </c>
      <c r="D114" s="45" t="str">
        <f>'Balance Sheet'!D24</f>
        <v>-</v>
      </c>
      <c r="E114" s="45" t="str">
        <f>'Balance Sheet'!E24</f>
        <v>-</v>
      </c>
      <c r="F114" s="45" t="str">
        <f>'Balance Sheet'!F24</f>
        <v>-</v>
      </c>
      <c r="G114" s="46" t="str">
        <f>'Balance Sheet'!G24</f>
        <v>-</v>
      </c>
      <c r="H114" s="44">
        <v>0</v>
      </c>
      <c r="I114" s="15">
        <f t="shared" ref="I114:L114" si="77">H114</f>
        <v>0</v>
      </c>
      <c r="J114" s="15">
        <f t="shared" si="77"/>
        <v>0</v>
      </c>
      <c r="K114" s="15">
        <f t="shared" si="77"/>
        <v>0</v>
      </c>
      <c r="L114" s="15">
        <f t="shared" si="77"/>
        <v>0</v>
      </c>
    </row>
    <row r="115" spans="2:14" x14ac:dyDescent="0.25">
      <c r="B115" t="s">
        <v>66</v>
      </c>
      <c r="C115" s="49">
        <f>'Balance Sheet'!C27</f>
        <v>57329</v>
      </c>
      <c r="D115" s="49">
        <f>'Balance Sheet'!D27</f>
        <v>72928</v>
      </c>
      <c r="E115" s="49">
        <f>'Balance Sheet'!E28</f>
        <v>68991</v>
      </c>
      <c r="F115" s="49">
        <f>'Balance Sheet'!F27</f>
        <v>61563</v>
      </c>
      <c r="G115" s="50">
        <f>'Balance Sheet'!G27</f>
        <v>60375</v>
      </c>
      <c r="H115" s="94">
        <f>G115</f>
        <v>60375</v>
      </c>
      <c r="I115" s="17">
        <f t="shared" ref="I115:L115" si="78">H115</f>
        <v>60375</v>
      </c>
      <c r="J115" s="17">
        <f t="shared" si="78"/>
        <v>60375</v>
      </c>
      <c r="K115" s="17">
        <f t="shared" si="78"/>
        <v>60375</v>
      </c>
      <c r="L115" s="17">
        <f t="shared" si="78"/>
        <v>60375</v>
      </c>
    </row>
    <row r="116" spans="2:14" x14ac:dyDescent="0.25">
      <c r="B116" s="29"/>
      <c r="C116" s="45">
        <f>SUM(C103:C108)+SUM(C109:C115)</f>
        <v>1705790</v>
      </c>
      <c r="D116" s="45">
        <f>SUM(D103:D108)+SUM(D109:D115)</f>
        <v>1808400</v>
      </c>
      <c r="E116" s="45">
        <f>SUM(E103:E108)+SUM(E109:E115)</f>
        <v>2005608</v>
      </c>
      <c r="F116" s="45">
        <f>SUM(F103:F108)+SUM(F109:F115)</f>
        <v>2022694</v>
      </c>
      <c r="G116" s="46">
        <f>SUM(G103:G108)+SUM(G109:G115)</f>
        <v>2269157</v>
      </c>
      <c r="H116" s="15">
        <f ca="1">SUM(H103:H115)</f>
        <v>2449569.7901470643</v>
      </c>
      <c r="I116" s="15">
        <f t="shared" ref="I116:L116" ca="1" si="79">SUM(I103:I115)</f>
        <v>2661575.7522297255</v>
      </c>
      <c r="J116" s="15">
        <f t="shared" ca="1" si="79"/>
        <v>2837576.872745859</v>
      </c>
      <c r="K116" s="15">
        <f t="shared" ca="1" si="79"/>
        <v>3034365.8505862863</v>
      </c>
      <c r="L116" s="15">
        <f t="shared" ca="1" si="79"/>
        <v>3236781.921796306</v>
      </c>
      <c r="M116" s="101"/>
    </row>
    <row r="117" spans="2:14" x14ac:dyDescent="0.25">
      <c r="B117" s="29"/>
      <c r="C117" s="15"/>
      <c r="D117" s="15"/>
      <c r="E117" s="15"/>
      <c r="F117" s="15"/>
      <c r="G117" s="14"/>
    </row>
    <row r="118" spans="2:14" x14ac:dyDescent="0.25">
      <c r="B118" s="37" t="s">
        <v>149</v>
      </c>
      <c r="C118" s="45"/>
      <c r="D118" s="45"/>
      <c r="E118" s="45"/>
      <c r="F118" s="45"/>
      <c r="G118" s="46"/>
    </row>
    <row r="119" spans="2:14" x14ac:dyDescent="0.25">
      <c r="B119" t="s">
        <v>70</v>
      </c>
      <c r="C119" s="87">
        <f>'Balance Sheet'!C32</f>
        <v>388791</v>
      </c>
      <c r="D119" s="87">
        <f>'Balance Sheet'!D32</f>
        <v>408407</v>
      </c>
      <c r="E119" s="87">
        <f>'Balance Sheet'!E32</f>
        <v>453229</v>
      </c>
      <c r="F119" s="87">
        <f>'Balance Sheet'!F32</f>
        <v>485961</v>
      </c>
      <c r="G119" s="88">
        <f>'Balance Sheet'!G32</f>
        <v>506949</v>
      </c>
      <c r="H119" s="15">
        <f>H350</f>
        <v>580621.02821924107</v>
      </c>
      <c r="I119" s="15">
        <f>I350</f>
        <v>636602.9715643446</v>
      </c>
      <c r="J119" s="15">
        <f>J350</f>
        <v>669722.87589538214</v>
      </c>
      <c r="K119" s="15">
        <f t="shared" ref="I119:L120" si="80">K350</f>
        <v>712729.34295974299</v>
      </c>
      <c r="L119" s="15">
        <f t="shared" si="80"/>
        <v>752946.36073319032</v>
      </c>
    </row>
    <row r="120" spans="2:14" x14ac:dyDescent="0.25">
      <c r="B120" t="s">
        <v>72</v>
      </c>
      <c r="C120" s="87">
        <f>'Balance Sheet'!C34</f>
        <v>41896</v>
      </c>
      <c r="D120" s="87">
        <f>'Balance Sheet'!D34</f>
        <v>44097</v>
      </c>
      <c r="E120" s="87">
        <f>'Balance Sheet'!E33</f>
        <v>45441</v>
      </c>
      <c r="F120" s="87">
        <f>'Balance Sheet'!F34</f>
        <v>48263</v>
      </c>
      <c r="G120" s="88">
        <f>'Balance Sheet'!G34</f>
        <v>52478</v>
      </c>
      <c r="H120" s="15">
        <f>H351</f>
        <v>60133.792723336097</v>
      </c>
      <c r="I120" s="15">
        <f t="shared" si="80"/>
        <v>66738.272421795918</v>
      </c>
      <c r="J120" s="15">
        <f t="shared" si="80"/>
        <v>70466.420515575912</v>
      </c>
      <c r="K120" s="15">
        <f t="shared" si="80"/>
        <v>75529.045971139174</v>
      </c>
      <c r="L120" s="15">
        <f t="shared" si="80"/>
        <v>79691.626802215396</v>
      </c>
    </row>
    <row r="121" spans="2:14" x14ac:dyDescent="0.25">
      <c r="B121" t="s">
        <v>73</v>
      </c>
      <c r="C121" s="87">
        <f>'Balance Sheet'!C35</f>
        <v>39736</v>
      </c>
      <c r="D121" s="87">
        <f>'Balance Sheet'!D35</f>
        <v>38667</v>
      </c>
      <c r="E121" s="87">
        <f>'Balance Sheet'!E35</f>
        <v>57273</v>
      </c>
      <c r="F121" s="87">
        <f>'Balance Sheet'!F35</f>
        <v>50035</v>
      </c>
      <c r="G121" s="88">
        <f>'Balance Sheet'!G35</f>
        <v>57627</v>
      </c>
      <c r="H121" s="15">
        <f t="shared" ref="H121:L121" si="81">H353</f>
        <v>62852.344020118806</v>
      </c>
      <c r="I121" s="15">
        <f t="shared" si="81"/>
        <v>68916.183325156962</v>
      </c>
      <c r="J121" s="15">
        <f t="shared" si="81"/>
        <v>72480.943665053666</v>
      </c>
      <c r="K121" s="15">
        <f t="shared" si="81"/>
        <v>77120.230718139384</v>
      </c>
      <c r="L121" s="15">
        <f t="shared" si="81"/>
        <v>81450.273360080057</v>
      </c>
    </row>
    <row r="122" spans="2:14" x14ac:dyDescent="0.25">
      <c r="B122" t="s">
        <v>74</v>
      </c>
      <c r="C122" s="87" t="str">
        <f>'Balance Sheet'!C36</f>
        <v>-</v>
      </c>
      <c r="D122" s="87">
        <f>'Balance Sheet'!D36</f>
        <v>10608</v>
      </c>
      <c r="E122" s="87">
        <f>'Balance Sheet'!E36</f>
        <v>8679</v>
      </c>
      <c r="F122" s="87">
        <f>'Balance Sheet'!F36</f>
        <v>8007</v>
      </c>
      <c r="G122" s="88">
        <f>'Balance Sheet'!G36</f>
        <v>12286</v>
      </c>
      <c r="H122" s="15">
        <f ca="1">H325</f>
        <v>0</v>
      </c>
      <c r="I122" s="15">
        <f t="shared" ref="I122:L122" ca="1" si="82">I325</f>
        <v>0</v>
      </c>
      <c r="J122" s="15">
        <f t="shared" ca="1" si="82"/>
        <v>0</v>
      </c>
      <c r="K122" s="15">
        <f t="shared" ca="1" si="82"/>
        <v>0</v>
      </c>
      <c r="L122" s="15">
        <f t="shared" ca="1" si="82"/>
        <v>0</v>
      </c>
    </row>
    <row r="123" spans="2:14" x14ac:dyDescent="0.25">
      <c r="B123" t="s">
        <v>203</v>
      </c>
      <c r="C123" s="87">
        <f>'Balance Sheet'!C37+'Balance Sheet'!C45</f>
        <v>129505</v>
      </c>
      <c r="D123" s="87">
        <f>'Balance Sheet'!D37+'Balance Sheet'!D45</f>
        <v>137271</v>
      </c>
      <c r="E123" s="87">
        <f>'Balance Sheet'!E37+'Balance Sheet'!E46</f>
        <v>139680</v>
      </c>
      <c r="F123" s="87">
        <f>'Balance Sheet'!F37+'Balance Sheet'!F45</f>
        <v>130360</v>
      </c>
      <c r="G123" s="88">
        <f>'Balance Sheet'!G37+'Balance Sheet'!G45</f>
        <v>186597</v>
      </c>
      <c r="H123" s="91">
        <f>H320</f>
        <v>186597</v>
      </c>
      <c r="I123" s="91">
        <f t="shared" ref="I123:L123" si="83">I320</f>
        <v>186597</v>
      </c>
      <c r="J123" s="91">
        <f t="shared" si="83"/>
        <v>186597</v>
      </c>
      <c r="K123" s="91">
        <f t="shared" si="83"/>
        <v>186597</v>
      </c>
      <c r="L123" s="91">
        <f t="shared" si="83"/>
        <v>186597</v>
      </c>
      <c r="N123" s="92"/>
    </row>
    <row r="124" spans="2:14" x14ac:dyDescent="0.25">
      <c r="B124" t="s">
        <v>204</v>
      </c>
      <c r="C124" s="87">
        <f>'Balance Sheet'!C38+'Balance Sheet'!C47</f>
        <v>137782</v>
      </c>
      <c r="D124" s="87">
        <f>'Balance Sheet'!D38+'Balance Sheet'!D47</f>
        <v>125987</v>
      </c>
      <c r="E124" s="87">
        <f>'Balance Sheet'!E38+'Balance Sheet'!E47</f>
        <v>129816</v>
      </c>
      <c r="F124" s="87">
        <f>'Balance Sheet'!F38+'Balance Sheet'!F47</f>
        <v>111260</v>
      </c>
      <c r="G124" s="88">
        <f>'Balance Sheet'!G38+'Balance Sheet'!G47</f>
        <v>130174</v>
      </c>
      <c r="H124" s="15">
        <f t="shared" ref="H124:L124" si="84">H431</f>
        <v>114155</v>
      </c>
      <c r="I124" s="15">
        <f t="shared" si="84"/>
        <v>125467</v>
      </c>
      <c r="J124" s="15">
        <f t="shared" si="84"/>
        <v>123482.4</v>
      </c>
      <c r="K124" s="15">
        <f t="shared" si="84"/>
        <v>121669.79999999999</v>
      </c>
      <c r="L124" s="15">
        <f t="shared" si="84"/>
        <v>119628.19999999998</v>
      </c>
      <c r="M124" s="34"/>
      <c r="N124" s="92"/>
    </row>
    <row r="125" spans="2:14" x14ac:dyDescent="0.25">
      <c r="B125" t="s">
        <v>77</v>
      </c>
      <c r="C125" s="87">
        <f>'Balance Sheet'!C39+'Balance Sheet'!C51</f>
        <v>12470</v>
      </c>
      <c r="D125" s="87">
        <f>'Balance Sheet'!D39+'Balance Sheet'!D51</f>
        <v>12458</v>
      </c>
      <c r="E125" s="87">
        <f>'Balance Sheet'!E40+'Balance Sheet'!E51</f>
        <v>14473</v>
      </c>
      <c r="F125" s="87">
        <f>'Balance Sheet'!F39+'Balance Sheet'!F51</f>
        <v>11278</v>
      </c>
      <c r="G125" s="88">
        <f>'Balance Sheet'!G39+'Balance Sheet'!G51</f>
        <v>11689</v>
      </c>
      <c r="H125" s="95">
        <f>G125</f>
        <v>11689</v>
      </c>
      <c r="I125" s="81">
        <f>H125</f>
        <v>11689</v>
      </c>
      <c r="J125" s="81">
        <f t="shared" ref="J125:L125" si="85">I125</f>
        <v>11689</v>
      </c>
      <c r="K125" s="81">
        <f t="shared" si="85"/>
        <v>11689</v>
      </c>
      <c r="L125" s="81">
        <f t="shared" si="85"/>
        <v>11689</v>
      </c>
    </row>
    <row r="126" spans="2:14" x14ac:dyDescent="0.25">
      <c r="B126" t="s">
        <v>79</v>
      </c>
      <c r="C126" s="87">
        <f>'Balance Sheet'!C41</f>
        <v>26898</v>
      </c>
      <c r="D126" s="87">
        <f>'Balance Sheet'!D41</f>
        <v>29228</v>
      </c>
      <c r="E126" s="87">
        <f>'Balance Sheet'!E41</f>
        <v>32613</v>
      </c>
      <c r="F126" s="87">
        <f>'Balance Sheet'!F41</f>
        <v>38079</v>
      </c>
      <c r="G126" s="88">
        <f>'Balance Sheet'!G41</f>
        <v>43061</v>
      </c>
      <c r="H126" s="15">
        <f>H352</f>
        <v>47274.897015493749</v>
      </c>
      <c r="I126" s="15">
        <f>I352</f>
        <v>53730.598302243132</v>
      </c>
      <c r="J126" s="15">
        <f>J352</f>
        <v>58098.329913316084</v>
      </c>
      <c r="K126" s="15">
        <f>K352</f>
        <v>63772.017597319194</v>
      </c>
      <c r="L126" s="15">
        <f>L352</f>
        <v>68907.036375146432</v>
      </c>
      <c r="N126" s="92">
        <f>SUM(F122:F126)</f>
        <v>298984</v>
      </c>
    </row>
    <row r="127" spans="2:14" x14ac:dyDescent="0.25">
      <c r="B127" t="s">
        <v>85</v>
      </c>
      <c r="C127" s="87">
        <f>'Balance Sheet'!C48</f>
        <v>1568</v>
      </c>
      <c r="D127" s="87">
        <f>'Balance Sheet'!D48</f>
        <v>2165</v>
      </c>
      <c r="E127" s="87">
        <f>'Balance Sheet'!E48</f>
        <v>1936</v>
      </c>
      <c r="F127" s="87">
        <f>'Balance Sheet'!F48</f>
        <v>1644</v>
      </c>
      <c r="G127" s="88">
        <f>'Balance Sheet'!G48</f>
        <v>1100</v>
      </c>
      <c r="H127" s="96">
        <f>G127</f>
        <v>1100</v>
      </c>
      <c r="I127" s="92">
        <f>H127</f>
        <v>1100</v>
      </c>
      <c r="J127" s="92">
        <f t="shared" ref="J127:L127" si="86">I127</f>
        <v>1100</v>
      </c>
      <c r="K127" s="92">
        <f t="shared" si="86"/>
        <v>1100</v>
      </c>
      <c r="L127" s="92">
        <f t="shared" si="86"/>
        <v>1100</v>
      </c>
    </row>
    <row r="128" spans="2:14" x14ac:dyDescent="0.25">
      <c r="B128" t="s">
        <v>86</v>
      </c>
      <c r="C128" s="87">
        <f>'Balance Sheet'!C49</f>
        <v>869</v>
      </c>
      <c r="D128" s="87" t="str">
        <f>'Balance Sheet'!D49</f>
        <v>-</v>
      </c>
      <c r="E128" s="87" t="str">
        <f>'Balance Sheet'!E49</f>
        <v>-</v>
      </c>
      <c r="F128" s="87" t="str">
        <f>'Balance Sheet'!F49</f>
        <v>-</v>
      </c>
      <c r="G128" s="88" t="str">
        <f>'Balance Sheet'!G49</f>
        <v>-</v>
      </c>
      <c r="H128" s="44">
        <v>0</v>
      </c>
      <c r="I128">
        <f>H128</f>
        <v>0</v>
      </c>
      <c r="J128">
        <f t="shared" ref="J128:L129" si="87">I128</f>
        <v>0</v>
      </c>
      <c r="K128">
        <f t="shared" si="87"/>
        <v>0</v>
      </c>
      <c r="L128">
        <f t="shared" si="87"/>
        <v>0</v>
      </c>
    </row>
    <row r="129" spans="2:17" x14ac:dyDescent="0.25">
      <c r="B129" t="s">
        <v>87</v>
      </c>
      <c r="C129" s="89">
        <f>'Balance Sheet'!C50</f>
        <v>10930</v>
      </c>
      <c r="D129" s="89">
        <f>'Balance Sheet'!D50</f>
        <v>8439</v>
      </c>
      <c r="E129" s="89">
        <f>'Balance Sheet'!E50</f>
        <v>15425</v>
      </c>
      <c r="F129" s="89">
        <f>'Balance Sheet'!F50</f>
        <v>14842</v>
      </c>
      <c r="G129" s="90">
        <f>'Balance Sheet'!G50</f>
        <v>19824</v>
      </c>
      <c r="H129" s="97">
        <f>G129</f>
        <v>19824</v>
      </c>
      <c r="I129" s="82">
        <f>H129</f>
        <v>19824</v>
      </c>
      <c r="J129" s="82">
        <f t="shared" si="87"/>
        <v>19824</v>
      </c>
      <c r="K129" s="82">
        <f t="shared" si="87"/>
        <v>19824</v>
      </c>
      <c r="L129" s="82">
        <f t="shared" si="87"/>
        <v>19824</v>
      </c>
    </row>
    <row r="130" spans="2:17" x14ac:dyDescent="0.25">
      <c r="B130" t="s">
        <v>149</v>
      </c>
      <c r="C130" s="83">
        <f>SUM(C119:C126)+SUM(C127:C129)</f>
        <v>790445</v>
      </c>
      <c r="D130" s="83">
        <f>SUM(D119:D126)+SUM(D127:D129)</f>
        <v>817327</v>
      </c>
      <c r="E130" s="83">
        <f>SUM(E119:E126)+SUM(E127:E129)</f>
        <v>898565</v>
      </c>
      <c r="F130" s="83">
        <f>SUM(F119:F126)+SUM(F127:F129)</f>
        <v>899729</v>
      </c>
      <c r="G130" s="84">
        <f>SUM(G119:G126)+SUM(G127:G129)</f>
        <v>1021785</v>
      </c>
      <c r="H130" s="235">
        <f ca="1">SUM(H119:H129)</f>
        <v>1084247.0619781897</v>
      </c>
      <c r="I130" s="83">
        <f t="shared" ref="I130:L130" ca="1" si="88">SUM(I119:I129)</f>
        <v>1170665.0256135406</v>
      </c>
      <c r="J130" s="83">
        <f t="shared" ca="1" si="88"/>
        <v>1213460.9699893277</v>
      </c>
      <c r="K130" s="83">
        <f t="shared" ca="1" si="88"/>
        <v>1270030.4372463408</v>
      </c>
      <c r="L130" s="83">
        <f t="shared" ca="1" si="88"/>
        <v>1321833.4972706321</v>
      </c>
    </row>
    <row r="132" spans="2:17" x14ac:dyDescent="0.25">
      <c r="B132" s="37" t="s">
        <v>89</v>
      </c>
    </row>
    <row r="133" spans="2:17" x14ac:dyDescent="0.25">
      <c r="B133" t="s">
        <v>90</v>
      </c>
      <c r="C133" s="45">
        <f>'Balance Sheet'!C54</f>
        <v>3</v>
      </c>
      <c r="D133" s="45">
        <f>'Balance Sheet'!D54</f>
        <v>3</v>
      </c>
      <c r="E133" s="45">
        <f>'Balance Sheet'!E54</f>
        <v>3</v>
      </c>
      <c r="F133" s="45">
        <f>'Balance Sheet'!F54</f>
        <v>3</v>
      </c>
      <c r="G133" s="46">
        <f>'Balance Sheet'!G54</f>
        <v>3</v>
      </c>
      <c r="H133">
        <f t="shared" ref="H133:L137" si="89">H398</f>
        <v>3</v>
      </c>
      <c r="I133">
        <f t="shared" si="89"/>
        <v>3</v>
      </c>
      <c r="J133">
        <f t="shared" si="89"/>
        <v>3</v>
      </c>
      <c r="K133">
        <f t="shared" si="89"/>
        <v>3</v>
      </c>
      <c r="L133">
        <f t="shared" si="89"/>
        <v>3</v>
      </c>
    </row>
    <row r="134" spans="2:17" x14ac:dyDescent="0.25">
      <c r="B134" t="s">
        <v>91</v>
      </c>
      <c r="C134" s="45">
        <f>'Balance Sheet'!C55</f>
        <v>465015</v>
      </c>
      <c r="D134" s="45">
        <f>'Balance Sheet'!D55</f>
        <v>481406</v>
      </c>
      <c r="E134" s="45">
        <f>'Balance Sheet'!E55</f>
        <v>497434</v>
      </c>
      <c r="F134" s="45">
        <f>'Balance Sheet'!F55</f>
        <v>514542</v>
      </c>
      <c r="G134" s="46">
        <f>'Balance Sheet'!G55</f>
        <v>529354</v>
      </c>
      <c r="H134" s="15">
        <f t="shared" si="89"/>
        <v>548342.83279999997</v>
      </c>
      <c r="I134" s="15">
        <f t="shared" si="89"/>
        <v>567901.33058399986</v>
      </c>
      <c r="J134" s="15">
        <f t="shared" si="89"/>
        <v>588046.58330151986</v>
      </c>
      <c r="K134" s="15">
        <f t="shared" si="89"/>
        <v>608796.19360056543</v>
      </c>
      <c r="L134" s="15">
        <f t="shared" si="89"/>
        <v>630168.2922085824</v>
      </c>
    </row>
    <row r="135" spans="2:17" x14ac:dyDescent="0.25">
      <c r="B135" t="s">
        <v>92</v>
      </c>
      <c r="C135" s="45">
        <f>'Balance Sheet'!C56</f>
        <v>-26084</v>
      </c>
      <c r="D135" s="45">
        <f>'Balance Sheet'!D56</f>
        <v>-31644</v>
      </c>
      <c r="E135" s="45">
        <f>'Balance Sheet'!E56</f>
        <v>-43961</v>
      </c>
      <c r="F135" s="45">
        <f>'Balance Sheet'!F56</f>
        <v>-117262</v>
      </c>
      <c r="G135" s="46">
        <f>'Balance Sheet'!G56</f>
        <v>-119972</v>
      </c>
      <c r="H135" s="15">
        <f t="shared" si="89"/>
        <v>-124584.4728</v>
      </c>
      <c r="I135" s="15">
        <f t="shared" si="89"/>
        <v>-129185.31978400001</v>
      </c>
      <c r="J135" s="15">
        <f t="shared" si="89"/>
        <v>-133774.19217751999</v>
      </c>
      <c r="K135" s="15">
        <f t="shared" si="89"/>
        <v>-138350.7307428456</v>
      </c>
      <c r="L135" s="15">
        <f t="shared" si="89"/>
        <v>-142914.56546513096</v>
      </c>
    </row>
    <row r="136" spans="2:17" x14ac:dyDescent="0.25">
      <c r="B136" t="s">
        <v>94</v>
      </c>
      <c r="C136" s="45">
        <f>'Balance Sheet'!C58</f>
        <v>658919</v>
      </c>
      <c r="D136" s="45">
        <f>'Balance Sheet'!D58</f>
        <v>736894</v>
      </c>
      <c r="E136" s="45">
        <f>'Balance Sheet'!E57</f>
        <v>817559</v>
      </c>
      <c r="F136" s="45">
        <f>'Balance Sheet'!F58</f>
        <v>890272</v>
      </c>
      <c r="G136" s="46">
        <f>'Balance Sheet'!G58</f>
        <v>999426</v>
      </c>
      <c r="H136" s="15">
        <f t="shared" ca="1" si="89"/>
        <v>1103000.3681688746</v>
      </c>
      <c r="I136" s="15">
        <f t="shared" ca="1" si="89"/>
        <v>1213630.7158161853</v>
      </c>
      <c r="J136" s="15">
        <f t="shared" ca="1" si="89"/>
        <v>1331279.5116325319</v>
      </c>
      <c r="K136" s="15">
        <f t="shared" ca="1" si="89"/>
        <v>1455325.9504822257</v>
      </c>
      <c r="L136" s="15">
        <f t="shared" ca="1" si="89"/>
        <v>1589130.6977822222</v>
      </c>
    </row>
    <row r="137" spans="2:17" x14ac:dyDescent="0.25">
      <c r="B137" t="s">
        <v>96</v>
      </c>
      <c r="C137" s="49">
        <f>'Balance Sheet'!C60</f>
        <v>-182508</v>
      </c>
      <c r="D137" s="49">
        <f>'Balance Sheet'!D60</f>
        <v>-195586</v>
      </c>
      <c r="E137" s="49">
        <f>'Balance Sheet'!E59</f>
        <v>-163992</v>
      </c>
      <c r="F137" s="49">
        <f>'Balance Sheet'!F60</f>
        <v>-164590</v>
      </c>
      <c r="G137" s="50">
        <f>'Balance Sheet'!G60</f>
        <v>-161439</v>
      </c>
      <c r="H137" s="133">
        <f t="shared" si="89"/>
        <v>-161439</v>
      </c>
      <c r="I137" s="19">
        <f t="shared" si="89"/>
        <v>-161439</v>
      </c>
      <c r="J137" s="19">
        <f t="shared" si="89"/>
        <v>-161439</v>
      </c>
      <c r="K137" s="19">
        <f t="shared" si="89"/>
        <v>-161439</v>
      </c>
      <c r="L137" s="19">
        <f t="shared" si="89"/>
        <v>-161439</v>
      </c>
    </row>
    <row r="138" spans="2:17" x14ac:dyDescent="0.25">
      <c r="C138" s="15">
        <f>SUM(C133:C137)</f>
        <v>915345</v>
      </c>
      <c r="D138" s="15">
        <f t="shared" ref="D138:G138" si="90">SUM(D133:D137)</f>
        <v>991073</v>
      </c>
      <c r="E138" s="15">
        <f t="shared" si="90"/>
        <v>1107043</v>
      </c>
      <c r="F138" s="15">
        <f t="shared" si="90"/>
        <v>1122965</v>
      </c>
      <c r="G138" s="30">
        <f t="shared" si="90"/>
        <v>1247372</v>
      </c>
      <c r="H138" s="15">
        <f ca="1">SUM(H133:H137)</f>
        <v>1365322.7281688745</v>
      </c>
      <c r="I138" s="15">
        <f t="shared" ref="I138:L138" ca="1" si="91">SUM(I133:I137)</f>
        <v>1490910.7266161852</v>
      </c>
      <c r="J138" s="15">
        <f t="shared" ca="1" si="91"/>
        <v>1624115.9027565317</v>
      </c>
      <c r="K138" s="15">
        <f t="shared" ca="1" si="91"/>
        <v>1764335.4133399455</v>
      </c>
      <c r="L138" s="15">
        <f t="shared" ca="1" si="91"/>
        <v>1914948.4245256735</v>
      </c>
    </row>
    <row r="139" spans="2:17" x14ac:dyDescent="0.25">
      <c r="N139" s="15"/>
      <c r="O139" s="15"/>
      <c r="P139" s="15"/>
      <c r="Q139" s="15"/>
    </row>
    <row r="140" spans="2:17" x14ac:dyDescent="0.25">
      <c r="N140" s="102"/>
    </row>
    <row r="141" spans="2:17" x14ac:dyDescent="0.25">
      <c r="B141" t="s">
        <v>150</v>
      </c>
      <c r="C141" s="15">
        <f>C138+C130</f>
        <v>1705790</v>
      </c>
      <c r="D141" s="15">
        <f>D138+D130</f>
        <v>1808400</v>
      </c>
      <c r="E141" s="15">
        <f t="shared" ref="E141:G141" si="92">E138+E130</f>
        <v>2005608</v>
      </c>
      <c r="F141" s="15">
        <f t="shared" si="92"/>
        <v>2022694</v>
      </c>
      <c r="G141" s="14">
        <f t="shared" si="92"/>
        <v>2269157</v>
      </c>
      <c r="H141" s="15">
        <f ca="1">H138+H130</f>
        <v>2449569.7901470643</v>
      </c>
      <c r="I141" s="15">
        <f t="shared" ref="I141:L141" ca="1" si="93">I138+I130</f>
        <v>2661575.7522297259</v>
      </c>
      <c r="J141" s="15">
        <f t="shared" ca="1" si="93"/>
        <v>2837576.8727458594</v>
      </c>
      <c r="K141" s="15">
        <f t="shared" ca="1" si="93"/>
        <v>3034365.8505862863</v>
      </c>
      <c r="L141" s="15">
        <f t="shared" ca="1" si="93"/>
        <v>3236781.9217963056</v>
      </c>
      <c r="N141" s="102"/>
    </row>
    <row r="142" spans="2:17" x14ac:dyDescent="0.25">
      <c r="B142" t="s">
        <v>151</v>
      </c>
      <c r="C142" s="15">
        <f t="shared" ref="C142:G142" si="94">C116-C141</f>
        <v>0</v>
      </c>
      <c r="D142" s="15">
        <f t="shared" si="94"/>
        <v>0</v>
      </c>
      <c r="E142" s="15">
        <f t="shared" si="94"/>
        <v>0</v>
      </c>
      <c r="F142" s="15">
        <f t="shared" si="94"/>
        <v>0</v>
      </c>
      <c r="G142" s="14">
        <f t="shared" si="94"/>
        <v>0</v>
      </c>
      <c r="H142" s="15">
        <f ca="1">H116-H141</f>
        <v>0</v>
      </c>
      <c r="I142" s="15">
        <f t="shared" ref="I142:L142" ca="1" si="95">I116-I141</f>
        <v>0</v>
      </c>
      <c r="J142" s="15">
        <f t="shared" ca="1" si="95"/>
        <v>0</v>
      </c>
      <c r="K142" s="15">
        <f t="shared" ca="1" si="95"/>
        <v>0</v>
      </c>
      <c r="L142" s="15">
        <f t="shared" ca="1" si="95"/>
        <v>0</v>
      </c>
    </row>
    <row r="143" spans="2:17" x14ac:dyDescent="0.25">
      <c r="C143" s="15"/>
      <c r="D143" s="15"/>
      <c r="E143" s="15"/>
      <c r="F143" s="15"/>
      <c r="G143" s="14"/>
      <c r="H143" s="15"/>
      <c r="I143" s="15"/>
      <c r="J143" s="15"/>
      <c r="K143" s="15"/>
      <c r="L143" s="15"/>
    </row>
    <row r="144" spans="2:17" x14ac:dyDescent="0.25">
      <c r="B144" s="199"/>
      <c r="C144" s="199" t="s">
        <v>300</v>
      </c>
      <c r="D144" s="199"/>
      <c r="E144" s="199"/>
      <c r="F144" s="199"/>
      <c r="G144" s="199"/>
      <c r="H144" s="199"/>
      <c r="I144" s="199"/>
      <c r="J144" s="199"/>
      <c r="K144" s="199"/>
      <c r="L144" s="199"/>
    </row>
    <row r="145" spans="2:12" x14ac:dyDescent="0.25">
      <c r="C145" s="171">
        <f t="shared" ref="C145:L145" si="96">C101</f>
        <v>2021</v>
      </c>
      <c r="D145" s="171">
        <f t="shared" si="96"/>
        <v>2022</v>
      </c>
      <c r="E145" s="171">
        <f t="shared" si="96"/>
        <v>2023</v>
      </c>
      <c r="F145" s="171">
        <f t="shared" si="96"/>
        <v>2024</v>
      </c>
      <c r="G145" s="172">
        <f t="shared" si="96"/>
        <v>2025</v>
      </c>
      <c r="H145" s="24">
        <f t="shared" si="96"/>
        <v>2026</v>
      </c>
      <c r="I145" s="24">
        <f t="shared" si="96"/>
        <v>2027</v>
      </c>
      <c r="J145" s="24">
        <f t="shared" si="96"/>
        <v>2028</v>
      </c>
      <c r="K145" s="24">
        <f t="shared" si="96"/>
        <v>2029</v>
      </c>
      <c r="L145" s="24">
        <f t="shared" si="96"/>
        <v>2030</v>
      </c>
    </row>
    <row r="146" spans="2:12" x14ac:dyDescent="0.25">
      <c r="B146" t="s">
        <v>299</v>
      </c>
      <c r="C146" s="15"/>
      <c r="D146" s="15"/>
      <c r="E146" s="15"/>
      <c r="F146" s="15"/>
      <c r="G146" s="14"/>
      <c r="H146" s="15"/>
      <c r="I146" s="15"/>
      <c r="J146" s="15"/>
      <c r="K146" s="15"/>
      <c r="L146" s="15"/>
    </row>
    <row r="147" spans="2:12" x14ac:dyDescent="0.25">
      <c r="B147" t="s">
        <v>315</v>
      </c>
      <c r="C147" s="59">
        <v>26</v>
      </c>
      <c r="D147" s="59">
        <v>27</v>
      </c>
      <c r="E147" s="59">
        <v>28</v>
      </c>
      <c r="F147" s="59">
        <v>30</v>
      </c>
      <c r="G147" s="60">
        <v>32</v>
      </c>
      <c r="H147" s="15">
        <f>G147+H151</f>
        <v>33</v>
      </c>
      <c r="I147" s="15">
        <f>H147+I151</f>
        <v>35</v>
      </c>
      <c r="J147" s="15">
        <f t="shared" ref="J147:L147" si="97">I147+J151</f>
        <v>36</v>
      </c>
      <c r="K147" s="15">
        <f t="shared" si="97"/>
        <v>36</v>
      </c>
      <c r="L147" s="15">
        <f t="shared" si="97"/>
        <v>37</v>
      </c>
    </row>
    <row r="148" spans="2:12" x14ac:dyDescent="0.25">
      <c r="B148" t="s">
        <v>316</v>
      </c>
      <c r="C148" s="59">
        <v>13</v>
      </c>
      <c r="D148" s="59">
        <v>14</v>
      </c>
      <c r="E148" s="59">
        <v>14</v>
      </c>
      <c r="F148" s="59">
        <v>14</v>
      </c>
      <c r="G148" s="60">
        <v>14</v>
      </c>
      <c r="H148" s="15">
        <f>G148+H152</f>
        <v>16</v>
      </c>
      <c r="I148" s="15">
        <f t="shared" ref="I148:L148" si="98">H148+I152</f>
        <v>17</v>
      </c>
      <c r="J148" s="15">
        <f t="shared" si="98"/>
        <v>17</v>
      </c>
      <c r="K148" s="15">
        <f t="shared" si="98"/>
        <v>18</v>
      </c>
      <c r="L148" s="15">
        <f t="shared" si="98"/>
        <v>18</v>
      </c>
    </row>
    <row r="149" spans="2:12" x14ac:dyDescent="0.25">
      <c r="B149" t="s">
        <v>320</v>
      </c>
      <c r="C149" s="59">
        <v>8</v>
      </c>
      <c r="D149" s="59">
        <v>9</v>
      </c>
      <c r="E149" s="59">
        <v>9</v>
      </c>
      <c r="F149" s="59">
        <v>10</v>
      </c>
      <c r="G149" s="60">
        <v>10</v>
      </c>
      <c r="H149" s="15">
        <f>G149+H153</f>
        <v>10</v>
      </c>
      <c r="I149" s="15">
        <f>H149+I153</f>
        <v>11</v>
      </c>
      <c r="J149" s="15">
        <f t="shared" ref="J149:L149" si="99">I149+J153</f>
        <v>11</v>
      </c>
      <c r="K149" s="15">
        <f t="shared" si="99"/>
        <v>12</v>
      </c>
      <c r="L149" s="15">
        <f t="shared" si="99"/>
        <v>12</v>
      </c>
    </row>
    <row r="150" spans="2:12" x14ac:dyDescent="0.25">
      <c r="B150" s="120" t="s">
        <v>322</v>
      </c>
    </row>
    <row r="151" spans="2:12" x14ac:dyDescent="0.25">
      <c r="B151" t="s">
        <v>315</v>
      </c>
      <c r="C151" s="31"/>
      <c r="D151" s="15">
        <f>D147-C147</f>
        <v>1</v>
      </c>
      <c r="E151" s="15">
        <f t="shared" ref="E151:G151" si="100">E147-D147</f>
        <v>1</v>
      </c>
      <c r="F151" s="15">
        <f t="shared" si="100"/>
        <v>2</v>
      </c>
      <c r="G151" s="14">
        <f t="shared" si="100"/>
        <v>2</v>
      </c>
      <c r="H151" s="43">
        <v>1</v>
      </c>
      <c r="I151" s="43">
        <v>2</v>
      </c>
      <c r="J151" s="59" cm="1">
        <f t="array" ref="J151">CHOOSE(_xlfn.IFS($N$4="Base",1,$N$4="Bull",2,$N$4="Bear",3),$J158,$J162,$J166)</f>
        <v>1</v>
      </c>
      <c r="K151" s="59" cm="1">
        <f t="array" ref="K151">CHOOSE(_xlfn.IFS($N$4="Base",1,$N$4="Bull",2,$N$4="Bear",3),K158,K162,K166)</f>
        <v>0</v>
      </c>
      <c r="L151" s="59" cm="1">
        <f t="array" ref="L151">CHOOSE(_xlfn.IFS($N$4="Base",1,$N$4="Bull",2,$N$4="Bear",3),L158,L162,L166)</f>
        <v>1</v>
      </c>
    </row>
    <row r="152" spans="2:12" x14ac:dyDescent="0.25">
      <c r="B152" t="s">
        <v>316</v>
      </c>
      <c r="C152" s="31"/>
      <c r="D152" s="15">
        <f t="shared" ref="D152:G153" si="101">D148-C148</f>
        <v>1</v>
      </c>
      <c r="E152" s="15">
        <f t="shared" si="101"/>
        <v>0</v>
      </c>
      <c r="F152" s="15">
        <f t="shared" si="101"/>
        <v>0</v>
      </c>
      <c r="G152" s="14">
        <f t="shared" si="101"/>
        <v>0</v>
      </c>
      <c r="H152" s="43">
        <v>2</v>
      </c>
      <c r="I152" s="43">
        <v>1</v>
      </c>
      <c r="J152" s="59" cm="1">
        <f t="array" ref="J152">CHOOSE(_xlfn.IFS($N$4="Base",1,$N$4="Bull",2,$N$4="Bear",3),$J159,$J163,$J167)</f>
        <v>0</v>
      </c>
      <c r="K152" s="59" cm="1">
        <f t="array" ref="K152">CHOOSE(_xlfn.IFS($N$4="Base",1,$N$4="Bull",2,$N$4="Bear",3),K159,K163,K167)</f>
        <v>1</v>
      </c>
      <c r="L152" s="59" cm="1">
        <f t="array" ref="L152">CHOOSE(_xlfn.IFS($N$4="Base",1,$N$4="Bull",2,$N$4="Bear",3),L159,L163,L167)</f>
        <v>0</v>
      </c>
    </row>
    <row r="153" spans="2:12" x14ac:dyDescent="0.25">
      <c r="B153" t="s">
        <v>320</v>
      </c>
      <c r="C153" s="19"/>
      <c r="D153" s="17">
        <f t="shared" si="101"/>
        <v>1</v>
      </c>
      <c r="E153" s="17">
        <f t="shared" si="101"/>
        <v>0</v>
      </c>
      <c r="F153" s="17">
        <f t="shared" si="101"/>
        <v>1</v>
      </c>
      <c r="G153" s="16">
        <f t="shared" si="101"/>
        <v>0</v>
      </c>
      <c r="H153" s="145">
        <v>0</v>
      </c>
      <c r="I153" s="75">
        <v>1</v>
      </c>
      <c r="J153" s="169" cm="1">
        <f t="array" ref="J153">CHOOSE(_xlfn.IFS($N$4="Base",1,$N$4="Bull",2,$N$4="Bear",3),$J160,$J164,$J168)</f>
        <v>0</v>
      </c>
      <c r="K153" s="169" cm="1">
        <f t="array" ref="K153">CHOOSE(_xlfn.IFS($N$4="Base",1,$N$4="Bull",2,$N$4="Bear",3),K160,K164,K168)</f>
        <v>1</v>
      </c>
      <c r="L153" s="169" cm="1">
        <f t="array" ref="L153">CHOOSE(_xlfn.IFS($N$4="Base",1,$N$4="Bull",2,$N$4="Bear",3),L160,L164,L168)</f>
        <v>0</v>
      </c>
    </row>
    <row r="154" spans="2:12" x14ac:dyDescent="0.25">
      <c r="B154" t="s">
        <v>322</v>
      </c>
      <c r="C154" s="19"/>
      <c r="D154" s="17">
        <f>SUM(D151:D153)</f>
        <v>3</v>
      </c>
      <c r="E154" s="17">
        <f t="shared" ref="E154:G154" si="102">SUM(E151:E153)</f>
        <v>1</v>
      </c>
      <c r="F154" s="17">
        <f t="shared" si="102"/>
        <v>3</v>
      </c>
      <c r="G154" s="202">
        <f t="shared" si="102"/>
        <v>2</v>
      </c>
      <c r="H154" s="17">
        <f>SUM(H151:H153)</f>
        <v>3</v>
      </c>
      <c r="I154" s="17">
        <f t="shared" ref="I154:L154" si="103">SUM(I151:I153)</f>
        <v>4</v>
      </c>
      <c r="J154" s="17">
        <f t="shared" si="103"/>
        <v>1</v>
      </c>
      <c r="K154" s="17">
        <f t="shared" si="103"/>
        <v>2</v>
      </c>
      <c r="L154" s="17">
        <f t="shared" si="103"/>
        <v>1</v>
      </c>
    </row>
    <row r="155" spans="2:12" x14ac:dyDescent="0.25">
      <c r="B155" t="s">
        <v>321</v>
      </c>
      <c r="C155" s="15">
        <f t="shared" ref="C155:H155" si="104">SUM(C147:C149)</f>
        <v>47</v>
      </c>
      <c r="D155" s="15">
        <f t="shared" si="104"/>
        <v>50</v>
      </c>
      <c r="E155" s="15">
        <f t="shared" si="104"/>
        <v>51</v>
      </c>
      <c r="F155" s="15">
        <f t="shared" si="104"/>
        <v>54</v>
      </c>
      <c r="G155" s="14">
        <f t="shared" si="104"/>
        <v>56</v>
      </c>
      <c r="H155" s="15">
        <f t="shared" si="104"/>
        <v>59</v>
      </c>
      <c r="I155" s="15">
        <f t="shared" ref="I155:L155" si="105">SUM(I147:I149)</f>
        <v>63</v>
      </c>
      <c r="J155" s="15">
        <f t="shared" si="105"/>
        <v>64</v>
      </c>
      <c r="K155" s="15">
        <f t="shared" si="105"/>
        <v>66</v>
      </c>
      <c r="L155" s="15">
        <f t="shared" si="105"/>
        <v>67</v>
      </c>
    </row>
    <row r="156" spans="2:12" x14ac:dyDescent="0.25">
      <c r="B156" s="141" t="s">
        <v>357</v>
      </c>
      <c r="D156" s="39"/>
      <c r="E156" s="39"/>
      <c r="F156" s="39"/>
      <c r="G156" s="40"/>
      <c r="H156" s="147"/>
      <c r="I156" s="147"/>
      <c r="J156" s="20"/>
      <c r="K156" s="20"/>
      <c r="L156" s="20"/>
    </row>
    <row r="157" spans="2:12" x14ac:dyDescent="0.25">
      <c r="B157" s="215" t="s">
        <v>345</v>
      </c>
      <c r="C157" s="38"/>
      <c r="D157" s="63"/>
      <c r="E157" s="63"/>
      <c r="F157" s="63"/>
      <c r="G157" s="64"/>
      <c r="H157" s="41"/>
      <c r="I157" s="41"/>
      <c r="J157" s="214"/>
      <c r="K157" s="214"/>
      <c r="L157" s="214"/>
    </row>
    <row r="158" spans="2:12" x14ac:dyDescent="0.25">
      <c r="B158" s="38" t="s">
        <v>315</v>
      </c>
      <c r="C158" s="38"/>
      <c r="D158" s="63"/>
      <c r="E158" s="63"/>
      <c r="F158" s="63"/>
      <c r="G158" s="64"/>
      <c r="H158" s="41"/>
      <c r="I158" s="41"/>
      <c r="J158" s="38">
        <v>1</v>
      </c>
      <c r="K158" s="38">
        <v>0</v>
      </c>
      <c r="L158" s="38">
        <v>1</v>
      </c>
    </row>
    <row r="159" spans="2:12" x14ac:dyDescent="0.25">
      <c r="B159" s="38" t="s">
        <v>316</v>
      </c>
      <c r="C159" s="38"/>
      <c r="D159" s="63"/>
      <c r="E159" s="63"/>
      <c r="F159" s="63"/>
      <c r="G159" s="64"/>
      <c r="H159" s="41"/>
      <c r="I159" s="41"/>
      <c r="J159" s="38">
        <v>0</v>
      </c>
      <c r="K159" s="38">
        <v>1</v>
      </c>
      <c r="L159" s="38">
        <v>0</v>
      </c>
    </row>
    <row r="160" spans="2:12" x14ac:dyDescent="0.25">
      <c r="B160" s="38" t="s">
        <v>320</v>
      </c>
      <c r="C160" s="38"/>
      <c r="D160" s="63"/>
      <c r="E160" s="63"/>
      <c r="F160" s="63"/>
      <c r="G160" s="64"/>
      <c r="H160" s="41"/>
      <c r="I160" s="41"/>
      <c r="J160" s="38">
        <v>0</v>
      </c>
      <c r="K160" s="38">
        <v>1</v>
      </c>
      <c r="L160" s="38">
        <v>0</v>
      </c>
    </row>
    <row r="161" spans="2:13" x14ac:dyDescent="0.25">
      <c r="B161" s="215" t="s">
        <v>426</v>
      </c>
      <c r="C161" s="38"/>
      <c r="D161" s="63"/>
      <c r="E161" s="63"/>
      <c r="F161" s="63"/>
      <c r="G161" s="64"/>
      <c r="H161" s="41"/>
      <c r="I161" s="41"/>
      <c r="J161" s="38"/>
      <c r="K161" s="38"/>
      <c r="L161" s="38"/>
    </row>
    <row r="162" spans="2:13" x14ac:dyDescent="0.25">
      <c r="B162" s="38" t="s">
        <v>315</v>
      </c>
      <c r="C162" s="38"/>
      <c r="D162" s="63"/>
      <c r="E162" s="63"/>
      <c r="F162" s="63"/>
      <c r="G162" s="64"/>
      <c r="H162" s="41"/>
      <c r="I162" s="41"/>
      <c r="J162" s="38">
        <v>2</v>
      </c>
      <c r="K162" s="38">
        <v>1</v>
      </c>
      <c r="L162" s="38">
        <v>1</v>
      </c>
    </row>
    <row r="163" spans="2:13" x14ac:dyDescent="0.25">
      <c r="B163" s="38" t="s">
        <v>316</v>
      </c>
      <c r="C163" s="38"/>
      <c r="D163" s="63"/>
      <c r="E163" s="63"/>
      <c r="F163" s="63"/>
      <c r="G163" s="64"/>
      <c r="H163" s="41"/>
      <c r="I163" s="41"/>
      <c r="J163" s="38">
        <v>0</v>
      </c>
      <c r="K163" s="38">
        <v>1</v>
      </c>
      <c r="L163" s="38">
        <v>0</v>
      </c>
    </row>
    <row r="164" spans="2:13" x14ac:dyDescent="0.25">
      <c r="B164" s="38" t="s">
        <v>320</v>
      </c>
      <c r="C164" s="38"/>
      <c r="D164" s="63"/>
      <c r="E164" s="63"/>
      <c r="F164" s="63"/>
      <c r="G164" s="64"/>
      <c r="H164" s="41"/>
      <c r="I164" s="41"/>
      <c r="J164" s="38">
        <v>1</v>
      </c>
      <c r="K164" s="38">
        <v>1</v>
      </c>
      <c r="L164" s="38">
        <v>0</v>
      </c>
    </row>
    <row r="165" spans="2:13" x14ac:dyDescent="0.25">
      <c r="B165" s="215" t="s">
        <v>427</v>
      </c>
      <c r="C165" s="38"/>
      <c r="D165" s="63"/>
      <c r="E165" s="63"/>
      <c r="F165" s="63"/>
      <c r="G165" s="64"/>
      <c r="H165" s="41"/>
      <c r="I165" s="41"/>
      <c r="J165" s="38"/>
      <c r="K165" s="38"/>
      <c r="L165" s="38"/>
    </row>
    <row r="166" spans="2:13" x14ac:dyDescent="0.25">
      <c r="B166" s="38" t="s">
        <v>315</v>
      </c>
      <c r="C166" s="38"/>
      <c r="D166" s="63"/>
      <c r="E166" s="63"/>
      <c r="F166" s="63"/>
      <c r="G166" s="64"/>
      <c r="H166" s="41"/>
      <c r="I166" s="41"/>
      <c r="J166" s="38">
        <v>0</v>
      </c>
      <c r="K166" s="38">
        <f>J166</f>
        <v>0</v>
      </c>
      <c r="L166" s="38">
        <f>K166</f>
        <v>0</v>
      </c>
    </row>
    <row r="167" spans="2:13" x14ac:dyDescent="0.25">
      <c r="B167" s="38" t="s">
        <v>316</v>
      </c>
      <c r="C167" s="38"/>
      <c r="D167" s="63"/>
      <c r="E167" s="63"/>
      <c r="F167" s="63"/>
      <c r="G167" s="64"/>
      <c r="H167" s="41"/>
      <c r="I167" s="41"/>
      <c r="J167" s="38">
        <v>0</v>
      </c>
      <c r="K167" s="38">
        <f t="shared" ref="K167:L167" si="106">J167</f>
        <v>0</v>
      </c>
      <c r="L167" s="38">
        <f t="shared" si="106"/>
        <v>0</v>
      </c>
    </row>
    <row r="168" spans="2:13" x14ac:dyDescent="0.25">
      <c r="B168" s="38" t="s">
        <v>320</v>
      </c>
      <c r="C168" s="38"/>
      <c r="D168" s="63"/>
      <c r="E168" s="63"/>
      <c r="F168" s="63"/>
      <c r="G168" s="64"/>
      <c r="H168" s="41"/>
      <c r="I168" s="41"/>
      <c r="J168" s="38">
        <v>0</v>
      </c>
      <c r="K168" s="38">
        <f t="shared" ref="K168:L168" si="107">J168</f>
        <v>0</v>
      </c>
      <c r="L168" s="38">
        <f t="shared" si="107"/>
        <v>0</v>
      </c>
      <c r="M168" s="15"/>
    </row>
    <row r="169" spans="2:13" x14ac:dyDescent="0.25">
      <c r="B169" s="29"/>
      <c r="D169" s="39"/>
      <c r="E169" s="39"/>
      <c r="F169" s="39"/>
      <c r="G169" s="187"/>
      <c r="H169" s="147"/>
      <c r="I169" s="147"/>
      <c r="M169" s="15"/>
    </row>
    <row r="170" spans="2:13" x14ac:dyDescent="0.25">
      <c r="B170" s="158"/>
      <c r="C170" s="158" t="s">
        <v>318</v>
      </c>
      <c r="D170" s="158"/>
      <c r="E170" s="158"/>
      <c r="F170" s="158"/>
      <c r="G170" s="158"/>
      <c r="H170" s="158"/>
      <c r="I170" s="158"/>
      <c r="J170" s="158"/>
      <c r="K170" s="158"/>
      <c r="L170" s="158"/>
    </row>
    <row r="171" spans="2:13" x14ac:dyDescent="0.25">
      <c r="B171" s="120" t="s">
        <v>324</v>
      </c>
      <c r="C171" s="171">
        <f t="shared" ref="C171:L171" si="108">C145</f>
        <v>2021</v>
      </c>
      <c r="D171" s="171">
        <f t="shared" si="108"/>
        <v>2022</v>
      </c>
      <c r="E171" s="171">
        <f t="shared" si="108"/>
        <v>2023</v>
      </c>
      <c r="F171" s="171">
        <f t="shared" si="108"/>
        <v>2024</v>
      </c>
      <c r="G171" s="172">
        <f t="shared" si="108"/>
        <v>2025</v>
      </c>
      <c r="H171" s="24">
        <f t="shared" si="108"/>
        <v>2026</v>
      </c>
      <c r="I171" s="24">
        <f t="shared" si="108"/>
        <v>2027</v>
      </c>
      <c r="J171" s="24">
        <f t="shared" si="108"/>
        <v>2028</v>
      </c>
      <c r="K171" s="24">
        <f t="shared" si="108"/>
        <v>2029</v>
      </c>
      <c r="L171" s="24">
        <f t="shared" si="108"/>
        <v>2030</v>
      </c>
      <c r="M171" s="24"/>
    </row>
    <row r="172" spans="2:13" x14ac:dyDescent="0.25">
      <c r="B172" t="s">
        <v>315</v>
      </c>
      <c r="C172" s="31"/>
      <c r="D172" s="31"/>
      <c r="E172" s="59">
        <v>2534980</v>
      </c>
      <c r="F172" s="59">
        <v>2830078</v>
      </c>
      <c r="G172" s="60">
        <v>3127113</v>
      </c>
      <c r="H172" s="15">
        <f t="shared" ref="H172:L174" si="109">H215*H147</f>
        <v>3091972.0676624998</v>
      </c>
      <c r="I172" s="15">
        <f t="shared" si="109"/>
        <v>3344951.6004712498</v>
      </c>
      <c r="J172" s="15">
        <f t="shared" si="109"/>
        <v>3509332.0791229801</v>
      </c>
      <c r="K172" s="15">
        <f t="shared" si="109"/>
        <v>3579518.7207054398</v>
      </c>
      <c r="L172" s="15">
        <f t="shared" si="109"/>
        <v>3752528.7922062026</v>
      </c>
      <c r="M172" s="34">
        <f t="shared" ref="M172:M173" si="110">L172/$L$175</f>
        <v>0.58638243588874195</v>
      </c>
    </row>
    <row r="173" spans="2:13" x14ac:dyDescent="0.25">
      <c r="B173" t="s">
        <v>316</v>
      </c>
      <c r="C173" s="31"/>
      <c r="D173" s="31"/>
      <c r="E173" s="59">
        <v>1245517</v>
      </c>
      <c r="F173" s="59">
        <v>1360813</v>
      </c>
      <c r="G173" s="60">
        <v>1418914</v>
      </c>
      <c r="H173" s="15">
        <f t="shared" si="109"/>
        <v>1554805.4207999997</v>
      </c>
      <c r="I173" s="15">
        <f t="shared" si="109"/>
        <v>1685020.3747919996</v>
      </c>
      <c r="J173" s="15">
        <f t="shared" si="109"/>
        <v>1718720.7822878396</v>
      </c>
      <c r="K173" s="15">
        <f t="shared" si="109"/>
        <v>1856218.4448708668</v>
      </c>
      <c r="L173" s="15">
        <f t="shared" si="109"/>
        <v>1893342.8137682842</v>
      </c>
      <c r="M173" s="34">
        <f t="shared" si="110"/>
        <v>0.2958599474082021</v>
      </c>
    </row>
    <row r="174" spans="2:13" x14ac:dyDescent="0.25">
      <c r="B174" t="s">
        <v>343</v>
      </c>
      <c r="C174" s="19"/>
      <c r="D174" s="19"/>
      <c r="E174" s="169">
        <v>492581</v>
      </c>
      <c r="F174" s="169">
        <v>478107</v>
      </c>
      <c r="G174" s="177">
        <v>605093</v>
      </c>
      <c r="H174" s="17">
        <f t="shared" si="109"/>
        <v>580163.16839999997</v>
      </c>
      <c r="I174" s="17">
        <f t="shared" si="109"/>
        <v>650943.0749448</v>
      </c>
      <c r="J174" s="17">
        <f t="shared" si="109"/>
        <v>663961.93644369591</v>
      </c>
      <c r="K174" s="17">
        <f t="shared" si="109"/>
        <v>738808.55473371269</v>
      </c>
      <c r="L174" s="17">
        <f t="shared" si="109"/>
        <v>753584.72582838684</v>
      </c>
      <c r="M174" s="187">
        <f>L174/$L$175</f>
        <v>0.11775761670305589</v>
      </c>
    </row>
    <row r="175" spans="2:13" x14ac:dyDescent="0.25">
      <c r="B175" s="120"/>
      <c r="C175" s="59">
        <f>C206-C180</f>
        <v>3541772</v>
      </c>
      <c r="D175" s="59">
        <f>D206-D180</f>
        <v>4023457</v>
      </c>
      <c r="E175" s="15">
        <f>SUM(E172:E174)</f>
        <v>4273078</v>
      </c>
      <c r="F175" s="15">
        <f>SUM(F172:F174)</f>
        <v>4668998</v>
      </c>
      <c r="G175" s="30">
        <f>SUM(G172:G174)</f>
        <v>5151120</v>
      </c>
      <c r="H175" s="15">
        <f>SUM(H172:H174)</f>
        <v>5226940.6568624992</v>
      </c>
      <c r="I175" s="15">
        <f t="shared" ref="I175:L175" si="111">SUM(I172:I174)</f>
        <v>5680915.0502080489</v>
      </c>
      <c r="J175" s="15">
        <f t="shared" si="111"/>
        <v>5892014.7978545157</v>
      </c>
      <c r="K175" s="15">
        <f t="shared" si="111"/>
        <v>6174545.7203100193</v>
      </c>
      <c r="L175" s="15">
        <f t="shared" si="111"/>
        <v>6399456.3318028739</v>
      </c>
    </row>
    <row r="176" spans="2:13" x14ac:dyDescent="0.25">
      <c r="B176" s="120" t="s">
        <v>317</v>
      </c>
      <c r="C176" s="15"/>
      <c r="D176" s="15"/>
      <c r="E176" s="15"/>
      <c r="F176" s="15"/>
      <c r="G176" s="14"/>
      <c r="H176" s="15"/>
      <c r="I176" s="59"/>
      <c r="J176" s="15"/>
      <c r="K176" s="15"/>
      <c r="L176" s="15"/>
    </row>
    <row r="177" spans="2:12" x14ac:dyDescent="0.25">
      <c r="B177" t="s">
        <v>315</v>
      </c>
      <c r="C177" s="15">
        <v>-38477</v>
      </c>
      <c r="D177" s="59">
        <v>-48135</v>
      </c>
      <c r="E177" s="59">
        <v>85022</v>
      </c>
      <c r="F177" s="59">
        <v>78365</v>
      </c>
      <c r="G177" s="60">
        <v>21357</v>
      </c>
      <c r="H177" s="15">
        <f t="shared" ref="H177:L179" si="112">H$175*H189</f>
        <v>18816.958069660646</v>
      </c>
      <c r="I177" s="15">
        <f t="shared" si="112"/>
        <v>20451.263428201004</v>
      </c>
      <c r="J177" s="15">
        <f t="shared" si="112"/>
        <v>21211.221376980142</v>
      </c>
      <c r="K177" s="15">
        <f t="shared" si="112"/>
        <v>22228.3311683928</v>
      </c>
      <c r="L177" s="15">
        <f t="shared" si="112"/>
        <v>23038.008152256461</v>
      </c>
    </row>
    <row r="178" spans="2:12" x14ac:dyDescent="0.25">
      <c r="B178" t="s">
        <v>316</v>
      </c>
      <c r="C178" s="15">
        <v>-27069</v>
      </c>
      <c r="D178" s="59">
        <v>6680</v>
      </c>
      <c r="E178" s="59">
        <v>5183</v>
      </c>
      <c r="F178" s="59">
        <v>-29456</v>
      </c>
      <c r="G178" s="60">
        <f>-24541</f>
        <v>-24541</v>
      </c>
      <c r="H178" s="15">
        <f t="shared" si="112"/>
        <v>-16561.700059878964</v>
      </c>
      <c r="I178" s="15">
        <f t="shared" si="112"/>
        <v>-18000.129962002164</v>
      </c>
      <c r="J178" s="15">
        <f t="shared" si="112"/>
        <v>-18669.005109579506</v>
      </c>
      <c r="K178" s="15">
        <f t="shared" si="112"/>
        <v>-19564.21182848603</v>
      </c>
      <c r="L178" s="15">
        <f t="shared" si="112"/>
        <v>-20276.847064345875</v>
      </c>
    </row>
    <row r="179" spans="2:12" x14ac:dyDescent="0.25">
      <c r="B179" t="s">
        <v>320</v>
      </c>
      <c r="C179" s="17">
        <v>-10784</v>
      </c>
      <c r="D179" s="169">
        <v>-37185</v>
      </c>
      <c r="E179" s="169">
        <v>-62577</v>
      </c>
      <c r="F179" s="169">
        <v>65212</v>
      </c>
      <c r="G179" s="177">
        <f>-33604</f>
        <v>-33604</v>
      </c>
      <c r="H179" s="42">
        <f t="shared" si="112"/>
        <v>-20372.46322130919</v>
      </c>
      <c r="I179" s="17">
        <f t="shared" si="112"/>
        <v>-22141.868546335372</v>
      </c>
      <c r="J179" s="17">
        <f t="shared" si="112"/>
        <v>-22964.648471971024</v>
      </c>
      <c r="K179" s="17">
        <f t="shared" si="112"/>
        <v>-24065.837715252444</v>
      </c>
      <c r="L179" s="17">
        <f t="shared" si="112"/>
        <v>-24942.446703476679</v>
      </c>
    </row>
    <row r="180" spans="2:12" x14ac:dyDescent="0.25">
      <c r="C180" s="15">
        <f t="shared" ref="C180:H180" si="113">SUM(C177:C179)</f>
        <v>-76330</v>
      </c>
      <c r="D180" s="15">
        <f t="shared" si="113"/>
        <v>-78640</v>
      </c>
      <c r="E180" s="15">
        <f t="shared" si="113"/>
        <v>27628</v>
      </c>
      <c r="F180" s="15">
        <f t="shared" si="113"/>
        <v>114121</v>
      </c>
      <c r="G180" s="14">
        <f t="shared" si="113"/>
        <v>-36788</v>
      </c>
      <c r="H180" s="15">
        <f t="shared" si="113"/>
        <v>-18117.205211527507</v>
      </c>
      <c r="I180" s="15">
        <f t="shared" ref="I180:L180" si="114">SUM(I177:I179)</f>
        <v>-19690.735080136532</v>
      </c>
      <c r="J180" s="15">
        <f t="shared" si="114"/>
        <v>-20422.432204570388</v>
      </c>
      <c r="K180" s="15">
        <f t="shared" si="114"/>
        <v>-21401.718375345674</v>
      </c>
      <c r="L180" s="15">
        <f t="shared" si="114"/>
        <v>-22181.285615566092</v>
      </c>
    </row>
    <row r="181" spans="2:12" x14ac:dyDescent="0.25">
      <c r="B181" t="s">
        <v>319</v>
      </c>
      <c r="C181" s="15">
        <f>C180+C175</f>
        <v>3465442</v>
      </c>
      <c r="D181" s="15">
        <f>D180+D175</f>
        <v>3944817</v>
      </c>
      <c r="E181" s="15">
        <f>E180+E175</f>
        <v>4300706</v>
      </c>
      <c r="F181" s="15">
        <f>F180+F175</f>
        <v>4783119</v>
      </c>
      <c r="G181" s="14">
        <f>G180+G175</f>
        <v>5114332</v>
      </c>
      <c r="H181" s="15">
        <f>H175+H180</f>
        <v>5208823.4516509715</v>
      </c>
      <c r="I181" s="15">
        <f t="shared" ref="I181:L181" si="115">I175+I180</f>
        <v>5661224.315127912</v>
      </c>
      <c r="J181" s="15">
        <f t="shared" si="115"/>
        <v>5871592.3656499451</v>
      </c>
      <c r="K181" s="15">
        <f t="shared" si="115"/>
        <v>6153144.0019346736</v>
      </c>
      <c r="L181" s="15">
        <f t="shared" si="115"/>
        <v>6377275.0461873077</v>
      </c>
    </row>
    <row r="182" spans="2:12" x14ac:dyDescent="0.25">
      <c r="B182" s="141" t="s">
        <v>144</v>
      </c>
      <c r="C182" s="80"/>
      <c r="D182" s="80"/>
      <c r="E182" s="80"/>
      <c r="F182" s="80"/>
      <c r="G182" s="67"/>
      <c r="H182" s="194"/>
      <c r="I182" s="193"/>
      <c r="J182" s="193"/>
      <c r="K182" s="193"/>
      <c r="L182" s="193"/>
    </row>
    <row r="183" spans="2:12" x14ac:dyDescent="0.25">
      <c r="B183" t="s">
        <v>315</v>
      </c>
      <c r="C183" s="80">
        <f>C177/C$175</f>
        <v>-1.0863771016316127E-2</v>
      </c>
      <c r="D183" s="80">
        <f t="shared" ref="D183:G183" si="116">D177/D$175</f>
        <v>-1.1963592502666239E-2</v>
      </c>
      <c r="E183" s="80">
        <f t="shared" si="116"/>
        <v>1.989713269919248E-2</v>
      </c>
      <c r="F183" s="80">
        <f t="shared" si="116"/>
        <v>1.6784115135624389E-2</v>
      </c>
      <c r="G183" s="67">
        <f t="shared" si="116"/>
        <v>4.1460886176210221E-3</v>
      </c>
      <c r="H183" s="66" cm="1">
        <f t="array" ref="H183">CHOOSE(_xlfn.IFS($N$4="Base",1,$N$4="Bull",2,$N$4="Bear",3),H189,H193,H197)</f>
        <v>3.599994586691105E-3</v>
      </c>
      <c r="I183" s="66" cm="1">
        <f t="array" ref="I183">CHOOSE(_xlfn.IFS($N$4="Base",1,$N$4="Bull",2,$N$4="Bear",3),I189,I193,I197)</f>
        <v>3.599994586691105E-3</v>
      </c>
      <c r="J183" s="66" cm="1">
        <f t="array" ref="J183">CHOOSE(_xlfn.IFS($N$4="Base",1,$N$4="Bull",2,$N$4="Bear",3),J189,J193,J197)</f>
        <v>3.599994586691105E-3</v>
      </c>
      <c r="K183" s="66" cm="1">
        <f t="array" ref="K183">CHOOSE(_xlfn.IFS($N$4="Base",1,$N$4="Bull",2,$N$4="Bear",3),K189,K193,K197)</f>
        <v>3.599994586691105E-3</v>
      </c>
      <c r="L183" s="66" cm="1">
        <f t="array" ref="L183">CHOOSE(_xlfn.IFS($N$4="Base",1,$N$4="Bull",2,$N$4="Bear",3),L189,L193,L197)</f>
        <v>3.599994586691105E-3</v>
      </c>
    </row>
    <row r="184" spans="2:12" x14ac:dyDescent="0.25">
      <c r="B184" t="s">
        <v>316</v>
      </c>
      <c r="C184" s="80">
        <f t="shared" ref="C184:G185" si="117">C178/C$175</f>
        <v>-7.6427844593045515E-3</v>
      </c>
      <c r="D184" s="80">
        <f t="shared" si="117"/>
        <v>1.6602637980224469E-3</v>
      </c>
      <c r="E184" s="80">
        <f t="shared" si="117"/>
        <v>1.2129429886372305E-3</v>
      </c>
      <c r="F184" s="80">
        <f t="shared" si="117"/>
        <v>-6.3088482796522941E-3</v>
      </c>
      <c r="G184" s="67">
        <f t="shared" si="117"/>
        <v>-4.7642066191430216E-3</v>
      </c>
      <c r="H184" s="66" cm="1">
        <f t="array" ref="H184">CHOOSE(_xlfn.IFS($N$4="Base",1,$N$4="Bull",2,$N$4="Bear",3),H190,H194,H198)</f>
        <v>-3.168526514288038E-3</v>
      </c>
      <c r="I184" s="66" cm="1">
        <f t="array" ref="I184">CHOOSE(_xlfn.IFS($N$4="Base",1,$N$4="Bull",2,$N$4="Bear",3),I190,I194,I198)</f>
        <v>-3.168526514288038E-3</v>
      </c>
      <c r="J184" s="66" cm="1">
        <f t="array" ref="J184">CHOOSE(_xlfn.IFS($N$4="Base",1,$N$4="Bull",2,$N$4="Bear",3),J190,J194,J198)</f>
        <v>-3.168526514288038E-3</v>
      </c>
      <c r="K184" s="66" cm="1">
        <f t="array" ref="K184">CHOOSE(_xlfn.IFS($N$4="Base",1,$N$4="Bull",2,$N$4="Bear",3),K190,K194,K198)</f>
        <v>-3.168526514288038E-3</v>
      </c>
      <c r="L184" s="66" cm="1">
        <f t="array" ref="L184">CHOOSE(_xlfn.IFS($N$4="Base",1,$N$4="Bull",2,$N$4="Bear",3),L190,L194,L198)</f>
        <v>-3.168526514288038E-3</v>
      </c>
    </row>
    <row r="185" spans="2:12" x14ac:dyDescent="0.25">
      <c r="B185" t="s">
        <v>320</v>
      </c>
      <c r="C185" s="80">
        <f t="shared" si="117"/>
        <v>-3.0448035616070148E-3</v>
      </c>
      <c r="D185" s="80">
        <f t="shared" si="117"/>
        <v>-9.2420522948300429E-3</v>
      </c>
      <c r="E185" s="80">
        <f t="shared" si="117"/>
        <v>-1.46444787574671E-2</v>
      </c>
      <c r="F185" s="80">
        <f t="shared" si="117"/>
        <v>1.396702247462946E-2</v>
      </c>
      <c r="G185" s="67">
        <f t="shared" si="117"/>
        <v>-6.5236298125456215E-3</v>
      </c>
      <c r="H185" s="66" cm="1">
        <f t="array" ref="H185">CHOOSE(_xlfn.IFS($N$4="Base",1,$N$4="Bull",2,$N$4="Bear",3),H191,H195,H199)</f>
        <v>-3.8975883903640636E-3</v>
      </c>
      <c r="I185" s="66" cm="1">
        <f t="array" ref="I185">CHOOSE(_xlfn.IFS($N$4="Base",1,$N$4="Bull",2,$N$4="Bear",3),I191,I195,I199)</f>
        <v>-3.8975883903640636E-3</v>
      </c>
      <c r="J185" s="66" cm="1">
        <f t="array" ref="J185">CHOOSE(_xlfn.IFS($N$4="Base",1,$N$4="Bull",2,$N$4="Bear",3),J191,J195,J199)</f>
        <v>-3.8975883903640636E-3</v>
      </c>
      <c r="K185" s="66" cm="1">
        <f t="array" ref="K185">CHOOSE(_xlfn.IFS($N$4="Base",1,$N$4="Bull",2,$N$4="Bear",3),K191,K195,K199)</f>
        <v>-3.8975883903640636E-3</v>
      </c>
      <c r="L185" s="66" cm="1">
        <f t="array" ref="L185">CHOOSE(_xlfn.IFS($N$4="Base",1,$N$4="Bull",2,$N$4="Bear",3),L191,L195,L199)</f>
        <v>-3.8975883903640636E-3</v>
      </c>
    </row>
    <row r="186" spans="2:12" x14ac:dyDescent="0.25">
      <c r="C186" s="80"/>
      <c r="D186" s="80"/>
      <c r="E186" s="80"/>
      <c r="F186" s="80"/>
      <c r="G186" s="67"/>
      <c r="I186" s="195"/>
      <c r="J186" s="195"/>
      <c r="K186" s="195"/>
      <c r="L186" s="195"/>
    </row>
    <row r="187" spans="2:12" x14ac:dyDescent="0.25">
      <c r="B187" s="141" t="s">
        <v>428</v>
      </c>
      <c r="C187" s="80"/>
      <c r="D187" s="80"/>
      <c r="E187" s="80"/>
      <c r="F187" s="80"/>
      <c r="G187" s="67"/>
      <c r="H187" s="194"/>
      <c r="I187" s="193"/>
      <c r="J187" s="193"/>
      <c r="K187" s="193"/>
      <c r="L187" s="193"/>
    </row>
    <row r="188" spans="2:12" x14ac:dyDescent="0.25">
      <c r="B188" s="215" t="s">
        <v>345</v>
      </c>
      <c r="C188" s="38"/>
      <c r="D188" s="63"/>
      <c r="E188" s="63"/>
      <c r="F188" s="63"/>
      <c r="G188" s="64"/>
      <c r="H188" s="41"/>
      <c r="I188" s="41"/>
      <c r="J188" s="38"/>
      <c r="K188" s="38"/>
      <c r="L188" s="38"/>
    </row>
    <row r="189" spans="2:12" x14ac:dyDescent="0.25">
      <c r="B189" s="38" t="s">
        <v>315</v>
      </c>
      <c r="C189" s="38"/>
      <c r="D189" s="63"/>
      <c r="E189" s="63"/>
      <c r="F189" s="63"/>
      <c r="G189" s="64"/>
      <c r="H189" s="196">
        <f>AVERAGE(C183:G183)</f>
        <v>3.599994586691105E-3</v>
      </c>
      <c r="I189" s="272">
        <f>H189</f>
        <v>3.599994586691105E-3</v>
      </c>
      <c r="J189" s="272">
        <f t="shared" ref="J189:L189" si="118">I189</f>
        <v>3.599994586691105E-3</v>
      </c>
      <c r="K189" s="272">
        <f t="shared" si="118"/>
        <v>3.599994586691105E-3</v>
      </c>
      <c r="L189" s="272">
        <f t="shared" si="118"/>
        <v>3.599994586691105E-3</v>
      </c>
    </row>
    <row r="190" spans="2:12" x14ac:dyDescent="0.25">
      <c r="B190" s="38" t="s">
        <v>316</v>
      </c>
      <c r="C190" s="38"/>
      <c r="D190" s="63"/>
      <c r="E190" s="63"/>
      <c r="F190" s="63"/>
      <c r="G190" s="64"/>
      <c r="H190" s="196">
        <f>AVERAGE(C184:G184)</f>
        <v>-3.168526514288038E-3</v>
      </c>
      <c r="I190" s="272">
        <f t="shared" ref="I190:L191" si="119">H190</f>
        <v>-3.168526514288038E-3</v>
      </c>
      <c r="J190" s="272">
        <f t="shared" si="119"/>
        <v>-3.168526514288038E-3</v>
      </c>
      <c r="K190" s="272">
        <f t="shared" si="119"/>
        <v>-3.168526514288038E-3</v>
      </c>
      <c r="L190" s="272">
        <f t="shared" si="119"/>
        <v>-3.168526514288038E-3</v>
      </c>
    </row>
    <row r="191" spans="2:12" x14ac:dyDescent="0.25">
      <c r="B191" s="38" t="s">
        <v>320</v>
      </c>
      <c r="C191" s="38"/>
      <c r="D191" s="63"/>
      <c r="E191" s="63"/>
      <c r="F191" s="63"/>
      <c r="G191" s="64"/>
      <c r="H191" s="196">
        <f>AVERAGE(C185:G185)</f>
        <v>-3.8975883903640636E-3</v>
      </c>
      <c r="I191" s="272">
        <f t="shared" si="119"/>
        <v>-3.8975883903640636E-3</v>
      </c>
      <c r="J191" s="272">
        <f t="shared" si="119"/>
        <v>-3.8975883903640636E-3</v>
      </c>
      <c r="K191" s="272">
        <f t="shared" si="119"/>
        <v>-3.8975883903640636E-3</v>
      </c>
      <c r="L191" s="272">
        <f t="shared" si="119"/>
        <v>-3.8975883903640636E-3</v>
      </c>
    </row>
    <row r="192" spans="2:12" x14ac:dyDescent="0.25">
      <c r="B192" s="215" t="s">
        <v>426</v>
      </c>
      <c r="C192" s="38"/>
      <c r="D192" s="63"/>
      <c r="E192" s="63"/>
      <c r="F192" s="63"/>
      <c r="G192" s="64"/>
      <c r="H192" s="196"/>
      <c r="I192" s="41"/>
      <c r="J192" s="38"/>
      <c r="K192" s="38"/>
      <c r="L192" s="38"/>
    </row>
    <row r="193" spans="2:13" x14ac:dyDescent="0.25">
      <c r="B193" s="38" t="s">
        <v>315</v>
      </c>
      <c r="C193" s="38"/>
      <c r="D193" s="63"/>
      <c r="E193" s="63"/>
      <c r="F193" s="63"/>
      <c r="G193" s="64"/>
      <c r="H193" s="196">
        <f>MAX(C183:G183)</f>
        <v>1.989713269919248E-2</v>
      </c>
      <c r="I193" s="214">
        <f>H193</f>
        <v>1.989713269919248E-2</v>
      </c>
      <c r="J193" s="214">
        <f t="shared" ref="J193:L193" si="120">I193</f>
        <v>1.989713269919248E-2</v>
      </c>
      <c r="K193" s="214">
        <f t="shared" si="120"/>
        <v>1.989713269919248E-2</v>
      </c>
      <c r="L193" s="214">
        <f t="shared" si="120"/>
        <v>1.989713269919248E-2</v>
      </c>
    </row>
    <row r="194" spans="2:13" x14ac:dyDescent="0.25">
      <c r="B194" s="38" t="s">
        <v>316</v>
      </c>
      <c r="C194" s="38"/>
      <c r="D194" s="63"/>
      <c r="E194" s="63"/>
      <c r="F194" s="63"/>
      <c r="G194" s="64"/>
      <c r="H194" s="196">
        <f t="shared" ref="H194:H195" si="121">MAX(C184:G184)</f>
        <v>1.6602637980224469E-3</v>
      </c>
      <c r="I194" s="214">
        <f t="shared" ref="I194:L194" si="122">H194</f>
        <v>1.6602637980224469E-3</v>
      </c>
      <c r="J194" s="214">
        <f t="shared" si="122"/>
        <v>1.6602637980224469E-3</v>
      </c>
      <c r="K194" s="214">
        <f t="shared" si="122"/>
        <v>1.6602637980224469E-3</v>
      </c>
      <c r="L194" s="214">
        <f t="shared" si="122"/>
        <v>1.6602637980224469E-3</v>
      </c>
    </row>
    <row r="195" spans="2:13" x14ac:dyDescent="0.25">
      <c r="B195" s="38" t="s">
        <v>320</v>
      </c>
      <c r="C195" s="38"/>
      <c r="D195" s="63"/>
      <c r="E195" s="63"/>
      <c r="F195" s="63"/>
      <c r="G195" s="64"/>
      <c r="H195" s="196">
        <f t="shared" si="121"/>
        <v>1.396702247462946E-2</v>
      </c>
      <c r="I195" s="214">
        <f t="shared" ref="I195:L195" si="123">H195</f>
        <v>1.396702247462946E-2</v>
      </c>
      <c r="J195" s="214">
        <f t="shared" si="123"/>
        <v>1.396702247462946E-2</v>
      </c>
      <c r="K195" s="214">
        <f t="shared" si="123"/>
        <v>1.396702247462946E-2</v>
      </c>
      <c r="L195" s="214">
        <f t="shared" si="123"/>
        <v>1.396702247462946E-2</v>
      </c>
    </row>
    <row r="196" spans="2:13" x14ac:dyDescent="0.25">
      <c r="B196" s="215" t="s">
        <v>427</v>
      </c>
      <c r="C196" s="38"/>
      <c r="D196" s="63"/>
      <c r="E196" s="63"/>
      <c r="F196" s="63"/>
      <c r="G196" s="64"/>
      <c r="H196" s="196"/>
      <c r="I196" s="214"/>
      <c r="J196" s="214"/>
      <c r="K196" s="214"/>
      <c r="L196" s="214"/>
    </row>
    <row r="197" spans="2:13" x14ac:dyDescent="0.25">
      <c r="B197" s="38" t="s">
        <v>315</v>
      </c>
      <c r="C197" s="38"/>
      <c r="D197" s="63"/>
      <c r="E197" s="63"/>
      <c r="F197" s="63"/>
      <c r="G197" s="64"/>
      <c r="H197" s="196">
        <f>MIN(C183:G183)</f>
        <v>-1.1963592502666239E-2</v>
      </c>
      <c r="I197" s="214">
        <f t="shared" ref="I197:L197" si="124">H197</f>
        <v>-1.1963592502666239E-2</v>
      </c>
      <c r="J197" s="214">
        <f t="shared" si="124"/>
        <v>-1.1963592502666239E-2</v>
      </c>
      <c r="K197" s="214">
        <f t="shared" si="124"/>
        <v>-1.1963592502666239E-2</v>
      </c>
      <c r="L197" s="214">
        <f t="shared" si="124"/>
        <v>-1.1963592502666239E-2</v>
      </c>
    </row>
    <row r="198" spans="2:13" x14ac:dyDescent="0.25">
      <c r="B198" s="38" t="s">
        <v>316</v>
      </c>
      <c r="C198" s="38"/>
      <c r="D198" s="63"/>
      <c r="E198" s="63"/>
      <c r="F198" s="63"/>
      <c r="G198" s="64"/>
      <c r="H198" s="196">
        <f t="shared" ref="H198:H199" si="125">MIN(C184:G184)</f>
        <v>-7.6427844593045515E-3</v>
      </c>
      <c r="I198" s="214">
        <f t="shared" ref="I198:L198" si="126">H198</f>
        <v>-7.6427844593045515E-3</v>
      </c>
      <c r="J198" s="214">
        <f t="shared" si="126"/>
        <v>-7.6427844593045515E-3</v>
      </c>
      <c r="K198" s="214">
        <f t="shared" si="126"/>
        <v>-7.6427844593045515E-3</v>
      </c>
      <c r="L198" s="214">
        <f t="shared" si="126"/>
        <v>-7.6427844593045515E-3</v>
      </c>
    </row>
    <row r="199" spans="2:13" x14ac:dyDescent="0.25">
      <c r="B199" s="38" t="s">
        <v>320</v>
      </c>
      <c r="C199" s="38"/>
      <c r="D199" s="63"/>
      <c r="E199" s="63"/>
      <c r="F199" s="63"/>
      <c r="G199" s="64"/>
      <c r="H199" s="196">
        <f t="shared" si="125"/>
        <v>-1.46444787574671E-2</v>
      </c>
      <c r="I199" s="214">
        <f t="shared" ref="I199:L199" si="127">H199</f>
        <v>-1.46444787574671E-2</v>
      </c>
      <c r="J199" s="214">
        <f t="shared" si="127"/>
        <v>-1.46444787574671E-2</v>
      </c>
      <c r="K199" s="214">
        <f t="shared" si="127"/>
        <v>-1.46444787574671E-2</v>
      </c>
      <c r="L199" s="214">
        <f t="shared" si="127"/>
        <v>-1.46444787574671E-2</v>
      </c>
    </row>
    <row r="201" spans="2:13" outlineLevel="1" x14ac:dyDescent="0.25">
      <c r="C201" s="158" t="s">
        <v>152</v>
      </c>
      <c r="D201" s="158"/>
      <c r="E201" s="158"/>
      <c r="F201" s="158"/>
      <c r="G201" s="159"/>
      <c r="H201" s="158"/>
      <c r="I201" s="158"/>
      <c r="J201" s="158"/>
      <c r="K201" s="158"/>
      <c r="L201" s="158"/>
    </row>
    <row r="202" spans="2:13" outlineLevel="1" x14ac:dyDescent="0.25">
      <c r="C202" s="23">
        <f>$C$7</f>
        <v>2021</v>
      </c>
      <c r="D202" s="23">
        <f>$D$7</f>
        <v>2022</v>
      </c>
      <c r="E202" s="23">
        <f>$E$7</f>
        <v>2023</v>
      </c>
      <c r="F202" s="23">
        <f>$F$7</f>
        <v>2024</v>
      </c>
      <c r="G202" s="27">
        <f>$G$7</f>
        <v>2025</v>
      </c>
      <c r="H202" s="24">
        <f>$H$7</f>
        <v>2026</v>
      </c>
      <c r="I202" s="24">
        <f>$I$7</f>
        <v>2027</v>
      </c>
      <c r="J202" s="24">
        <f>$J$7</f>
        <v>2028</v>
      </c>
      <c r="K202" s="24">
        <f>$K$7</f>
        <v>2029</v>
      </c>
      <c r="L202" s="24">
        <f>$L$7</f>
        <v>2030</v>
      </c>
    </row>
    <row r="203" spans="2:13" outlineLevel="1" x14ac:dyDescent="0.25">
      <c r="B203" t="s">
        <v>319</v>
      </c>
      <c r="C203" s="23"/>
      <c r="D203" s="23"/>
      <c r="E203" s="23"/>
      <c r="F203" s="23"/>
      <c r="G203" s="27"/>
      <c r="H203" s="34"/>
      <c r="I203" s="24"/>
      <c r="J203" s="24"/>
      <c r="K203" s="24"/>
      <c r="L203" s="24"/>
    </row>
    <row r="204" spans="2:13" outlineLevel="1" x14ac:dyDescent="0.25">
      <c r="B204" t="s">
        <v>374</v>
      </c>
      <c r="C204" s="15">
        <f t="shared" ref="C204:D204" si="128">C206-C205</f>
        <v>3358013.298</v>
      </c>
      <c r="D204" s="15">
        <f t="shared" si="128"/>
        <v>3822527.673</v>
      </c>
      <c r="E204" s="15">
        <f>E206-E205</f>
        <v>4089971.406</v>
      </c>
      <c r="F204" s="15">
        <f t="shared" ref="F204:G204" si="129">F206-F205</f>
        <v>4548746.1689999998</v>
      </c>
      <c r="G204" s="14">
        <f t="shared" si="129"/>
        <v>4842052.8</v>
      </c>
      <c r="H204" s="15">
        <f>H181</f>
        <v>5208823.4516509715</v>
      </c>
      <c r="I204" s="15">
        <f>I181</f>
        <v>5661224.315127912</v>
      </c>
      <c r="J204" s="15">
        <f>J181</f>
        <v>5871592.3656499451</v>
      </c>
      <c r="K204" s="15">
        <f>K181</f>
        <v>6153144.0019346736</v>
      </c>
      <c r="L204" s="15">
        <f>L181</f>
        <v>6377275.0461873077</v>
      </c>
    </row>
    <row r="205" spans="2:13" outlineLevel="1" x14ac:dyDescent="0.25">
      <c r="B205" t="s">
        <v>375</v>
      </c>
      <c r="C205" s="17">
        <f>C226*C206</f>
        <v>107428.702</v>
      </c>
      <c r="D205" s="17">
        <f>D226*D206</f>
        <v>122289.327</v>
      </c>
      <c r="E205" s="17">
        <f>E206*E226</f>
        <v>210734.59400000001</v>
      </c>
      <c r="F205" s="17">
        <f>F206*F226</f>
        <v>234372.83100000001</v>
      </c>
      <c r="G205" s="16">
        <f>G206*G226</f>
        <v>309067.2</v>
      </c>
      <c r="H205" s="42">
        <f>G205*(1+H227)</f>
        <v>379693.54309397587</v>
      </c>
      <c r="I205" s="17">
        <f>H205*(1+I227)</f>
        <v>466459.03113386635</v>
      </c>
      <c r="J205" s="17">
        <f>I205*(1+J227)</f>
        <v>573051.69309263781</v>
      </c>
      <c r="K205" s="17">
        <f>J205*(1+K227)</f>
        <v>704002.32611660275</v>
      </c>
      <c r="L205" s="17">
        <f>K205*(1+L227)</f>
        <v>864877.08029067318</v>
      </c>
    </row>
    <row r="206" spans="2:13" outlineLevel="1" x14ac:dyDescent="0.25">
      <c r="B206" t="s">
        <v>373</v>
      </c>
      <c r="C206" s="45">
        <f>'Income Statement'!C7</f>
        <v>3465442</v>
      </c>
      <c r="D206" s="45">
        <f>'Income Statement'!D7</f>
        <v>3944817</v>
      </c>
      <c r="E206" s="45">
        <f>'Income Statement'!E7</f>
        <v>4300706</v>
      </c>
      <c r="F206" s="45">
        <f>'Income Statement'!F7</f>
        <v>4783119</v>
      </c>
      <c r="G206" s="46">
        <f>'Income Statement'!G7</f>
        <v>5151120</v>
      </c>
      <c r="H206" s="15">
        <f>SUM(H204:H205)</f>
        <v>5588516.9947449472</v>
      </c>
      <c r="I206" s="15">
        <f t="shared" ref="I206:L206" si="130">SUM(I204:I205)</f>
        <v>6127683.3462617779</v>
      </c>
      <c r="J206" s="15">
        <f t="shared" si="130"/>
        <v>6444644.0587425828</v>
      </c>
      <c r="K206" s="15">
        <f t="shared" si="130"/>
        <v>6857146.3280512765</v>
      </c>
      <c r="L206" s="15">
        <f t="shared" si="130"/>
        <v>7242152.126477981</v>
      </c>
      <c r="M206" s="187"/>
    </row>
    <row r="207" spans="2:13" outlineLevel="1" x14ac:dyDescent="0.25">
      <c r="B207" t="s">
        <v>376</v>
      </c>
      <c r="C207" s="45">
        <f>'Income Statement'!C8</f>
        <v>56030</v>
      </c>
      <c r="D207" s="45">
        <f>'Income Statement'!D8</f>
        <v>60887</v>
      </c>
      <c r="E207" s="45">
        <f>'Income Statement'!E8</f>
        <v>66048</v>
      </c>
      <c r="F207" s="45">
        <f>'Income Statement'!F8</f>
        <v>75240</v>
      </c>
      <c r="G207" s="46">
        <f>'Income Statement'!G8</f>
        <v>85573</v>
      </c>
      <c r="H207" s="15">
        <f>H155*H218</f>
        <v>95962.883587860488</v>
      </c>
      <c r="I207" s="15">
        <f>I218*I155</f>
        <v>109067.25292906279</v>
      </c>
      <c r="J207" s="15">
        <f>J218*J155</f>
        <v>117933.27161121971</v>
      </c>
      <c r="K207" s="15">
        <f>K218*K155</f>
        <v>129450.23865094541</v>
      </c>
      <c r="L207" s="15">
        <f>L218*L155</f>
        <v>139873.76657606417</v>
      </c>
      <c r="M207" s="187"/>
    </row>
    <row r="208" spans="2:13" outlineLevel="1" x14ac:dyDescent="0.25">
      <c r="B208" t="s">
        <v>377</v>
      </c>
      <c r="C208" s="45">
        <f>'Income Statement'!C9</f>
        <v>41520</v>
      </c>
      <c r="D208" s="45">
        <f>'Income Statement'!D9</f>
        <v>45217</v>
      </c>
      <c r="E208" s="45">
        <f>'Income Statement'!E9</f>
        <v>31741</v>
      </c>
      <c r="F208" s="45">
        <f>'Income Statement'!F9</f>
        <v>39438</v>
      </c>
      <c r="G208" s="46">
        <f>'Income Statement'!G9</f>
        <v>15235</v>
      </c>
      <c r="H208" s="43">
        <f>MEDIAN(C208:F208)</f>
        <v>40479</v>
      </c>
      <c r="I208" s="15">
        <f t="shared" ref="I208:L209" si="131">H208*(1+I219)</f>
        <v>44083.307875722545</v>
      </c>
      <c r="J208" s="15">
        <f t="shared" si="131"/>
        <v>48008.548463789652</v>
      </c>
      <c r="K208" s="15">
        <f t="shared" si="131"/>
        <v>52283.298070500401</v>
      </c>
      <c r="L208" s="15">
        <f t="shared" si="131"/>
        <v>56938.677477211386</v>
      </c>
      <c r="M208" s="187"/>
    </row>
    <row r="209" spans="2:13" outlineLevel="1" x14ac:dyDescent="0.25">
      <c r="B209" t="s">
        <v>378</v>
      </c>
      <c r="C209" s="49">
        <f>'Income Statement'!C10</f>
        <v>56879</v>
      </c>
      <c r="D209" s="49">
        <f>'Income Statement'!D10</f>
        <v>15172</v>
      </c>
      <c r="E209" s="49">
        <f>'Income Statement'!E10</f>
        <v>13347</v>
      </c>
      <c r="F209" s="49">
        <f>'Income Statement'!F10</f>
        <v>16101</v>
      </c>
      <c r="G209" s="50">
        <f>'Income Statement'!G10</f>
        <v>18166</v>
      </c>
      <c r="H209" s="17">
        <f>G209*(1+H220)</f>
        <v>19463.682367251167</v>
      </c>
      <c r="I209" s="17">
        <f t="shared" si="131"/>
        <v>20854.064257032038</v>
      </c>
      <c r="J209" s="17">
        <f t="shared" si="131"/>
        <v>22343.767629919479</v>
      </c>
      <c r="K209" s="17">
        <f t="shared" si="131"/>
        <v>23939.887484114344</v>
      </c>
      <c r="L209" s="17">
        <f t="shared" si="131"/>
        <v>25650.025646731985</v>
      </c>
      <c r="M209" s="187"/>
    </row>
    <row r="210" spans="2:13" outlineLevel="1" x14ac:dyDescent="0.25">
      <c r="B210" s="29" t="s">
        <v>134</v>
      </c>
      <c r="C210" s="15">
        <f t="shared" ref="C210:G210" si="132">SUM(C206:C209)</f>
        <v>3619871</v>
      </c>
      <c r="D210" s="15">
        <f t="shared" si="132"/>
        <v>4066093</v>
      </c>
      <c r="E210" s="15">
        <f t="shared" si="132"/>
        <v>4411842</v>
      </c>
      <c r="F210" s="15">
        <f t="shared" si="132"/>
        <v>4913898</v>
      </c>
      <c r="G210" s="30">
        <f t="shared" si="132"/>
        <v>5270094</v>
      </c>
      <c r="H210" s="15">
        <f>SUM(H206:H209)</f>
        <v>5744422.5607000589</v>
      </c>
      <c r="I210" s="15">
        <f>SUM(I206:I209)</f>
        <v>6301687.9713235954</v>
      </c>
      <c r="J210" s="15">
        <f>SUM(J206:J209)</f>
        <v>6632929.6464475114</v>
      </c>
      <c r="K210" s="15">
        <f>SUM(K206:K209)</f>
        <v>7062819.7522568367</v>
      </c>
      <c r="L210" s="15">
        <f>SUM(L206:L209)</f>
        <v>7464614.5961779887</v>
      </c>
    </row>
    <row r="211" spans="2:13" outlineLevel="1" x14ac:dyDescent="0.25">
      <c r="B211" s="29"/>
      <c r="C211" s="34"/>
      <c r="D211" s="34">
        <f t="shared" ref="D211:G211" si="133">D204/C204-1</f>
        <v>0.13833011777429838</v>
      </c>
      <c r="E211" s="34">
        <f t="shared" si="133"/>
        <v>6.9965152872288883E-2</v>
      </c>
      <c r="F211" s="34">
        <f t="shared" si="133"/>
        <v>0.11217065291140571</v>
      </c>
      <c r="G211" s="35">
        <f t="shared" si="133"/>
        <v>6.4480764611334784E-2</v>
      </c>
      <c r="H211" s="34">
        <f>H204/G204-1</f>
        <v>7.5746933542519823E-2</v>
      </c>
      <c r="I211" s="34">
        <f t="shared" ref="I211:L211" si="134">I204/H204-1</f>
        <v>8.6852792703801196E-2</v>
      </c>
      <c r="J211" s="34">
        <f t="shared" si="134"/>
        <v>3.7159462125513798E-2</v>
      </c>
      <c r="K211" s="34">
        <f t="shared" si="134"/>
        <v>4.7951495735954808E-2</v>
      </c>
      <c r="L211" s="34">
        <f t="shared" si="134"/>
        <v>3.6425450823540428E-2</v>
      </c>
    </row>
    <row r="212" spans="2:13" outlineLevel="1" x14ac:dyDescent="0.25">
      <c r="B212" s="29"/>
      <c r="C212" s="34"/>
      <c r="D212" s="34">
        <f t="shared" ref="D212:G212" si="135">D205/C205-1</f>
        <v>0.13833011777429838</v>
      </c>
      <c r="E212" s="34">
        <f t="shared" si="135"/>
        <v>0.72324600330820377</v>
      </c>
      <c r="F212" s="34">
        <f t="shared" si="135"/>
        <v>0.11217065291140571</v>
      </c>
      <c r="G212" s="35">
        <f t="shared" si="135"/>
        <v>0.31869892376732012</v>
      </c>
      <c r="H212" s="34">
        <f>H205/G205-1</f>
        <v>0.22851452077080925</v>
      </c>
      <c r="I212" s="34">
        <f t="shared" ref="I212:L212" si="136">I205/H205-1</f>
        <v>0.22851452077080925</v>
      </c>
      <c r="J212" s="34">
        <f t="shared" si="136"/>
        <v>0.22851452077080925</v>
      </c>
      <c r="K212" s="34">
        <f t="shared" si="136"/>
        <v>0.22851452077080925</v>
      </c>
      <c r="L212" s="34">
        <f t="shared" si="136"/>
        <v>0.22851452077080925</v>
      </c>
    </row>
    <row r="213" spans="2:13" outlineLevel="1" x14ac:dyDescent="0.25">
      <c r="B213" s="141" t="s">
        <v>144</v>
      </c>
      <c r="G213" s="13">
        <f>G206/G210</f>
        <v>0.97742469109659147</v>
      </c>
      <c r="H213" s="34"/>
    </row>
    <row r="214" spans="2:13" outlineLevel="1" x14ac:dyDescent="0.25">
      <c r="B214" s="237" t="s">
        <v>381</v>
      </c>
      <c r="C214" s="197"/>
      <c r="D214" s="197"/>
      <c r="E214" s="197"/>
      <c r="F214" s="197"/>
      <c r="G214" s="198"/>
      <c r="H214" s="43"/>
      <c r="I214" s="31"/>
      <c r="J214" s="31"/>
      <c r="K214" s="31"/>
      <c r="L214" s="31"/>
    </row>
    <row r="215" spans="2:13" outlineLevel="1" x14ac:dyDescent="0.25">
      <c r="B215" t="s">
        <v>315</v>
      </c>
      <c r="C215" s="197"/>
      <c r="D215" s="197"/>
      <c r="E215" s="188">
        <f t="shared" ref="E215:G217" si="137">E$204/E$206*E172/E147</f>
        <v>86098.785000000003</v>
      </c>
      <c r="F215" s="188">
        <f t="shared" si="137"/>
        <v>89713.472599999994</v>
      </c>
      <c r="G215" s="131">
        <f t="shared" si="137"/>
        <v>91858.944374999992</v>
      </c>
      <c r="H215" s="43">
        <f>G215*(1+$H$221)</f>
        <v>93696.123262499998</v>
      </c>
      <c r="I215" s="15">
        <f>H215*(1+I$221)</f>
        <v>95570.045727749995</v>
      </c>
      <c r="J215" s="15">
        <f t="shared" ref="J215:L215" si="138">I215*(1+J$221)</f>
        <v>97481.446642305003</v>
      </c>
      <c r="K215" s="15">
        <f t="shared" si="138"/>
        <v>99431.075575151102</v>
      </c>
      <c r="L215" s="15">
        <f t="shared" si="138"/>
        <v>101419.69708665412</v>
      </c>
    </row>
    <row r="216" spans="2:13" outlineLevel="1" x14ac:dyDescent="0.25">
      <c r="B216" t="s">
        <v>316</v>
      </c>
      <c r="C216" s="197"/>
      <c r="D216" s="197"/>
      <c r="E216" s="188">
        <f t="shared" si="137"/>
        <v>84606.190499999997</v>
      </c>
      <c r="F216" s="188">
        <f t="shared" si="137"/>
        <v>92438.083071428569</v>
      </c>
      <c r="G216" s="131">
        <f t="shared" si="137"/>
        <v>95269.939999999988</v>
      </c>
      <c r="H216" s="43">
        <f t="shared" ref="H216:H217" si="139">G216*(1+$H$221)</f>
        <v>97175.338799999983</v>
      </c>
      <c r="I216" s="15">
        <f t="shared" ref="I216:L217" si="140">H216*(1+I$221)</f>
        <v>99118.845575999978</v>
      </c>
      <c r="J216" s="15">
        <f t="shared" si="140"/>
        <v>101101.22248751998</v>
      </c>
      <c r="K216" s="15">
        <f t="shared" si="140"/>
        <v>103123.24693727038</v>
      </c>
      <c r="L216" s="15">
        <f t="shared" si="140"/>
        <v>105185.71187601579</v>
      </c>
    </row>
    <row r="217" spans="2:13" outlineLevel="1" x14ac:dyDescent="0.25">
      <c r="B217" t="s">
        <v>320</v>
      </c>
      <c r="C217" s="197"/>
      <c r="D217" s="197"/>
      <c r="E217" s="188">
        <f t="shared" si="137"/>
        <v>52049.39233333333</v>
      </c>
      <c r="F217" s="188">
        <f t="shared" si="137"/>
        <v>45467.975699999995</v>
      </c>
      <c r="G217" s="131">
        <f t="shared" si="137"/>
        <v>56878.741999999991</v>
      </c>
      <c r="H217" s="43">
        <f t="shared" si="139"/>
        <v>58016.316839999992</v>
      </c>
      <c r="I217" s="15">
        <f t="shared" si="140"/>
        <v>59176.643176799997</v>
      </c>
      <c r="J217" s="15">
        <f t="shared" si="140"/>
        <v>60360.176040335995</v>
      </c>
      <c r="K217" s="15">
        <f t="shared" si="140"/>
        <v>61567.379561142719</v>
      </c>
      <c r="L217" s="15">
        <f t="shared" si="140"/>
        <v>62798.727152365573</v>
      </c>
    </row>
    <row r="218" spans="2:13" outlineLevel="1" x14ac:dyDescent="0.25">
      <c r="B218" s="29" t="s">
        <v>367</v>
      </c>
      <c r="C218" s="188">
        <f>C207/C155</f>
        <v>1192.127659574468</v>
      </c>
      <c r="D218" s="188">
        <f>D207/D155</f>
        <v>1217.74</v>
      </c>
      <c r="E218" s="188">
        <f>E207/E155</f>
        <v>1295.0588235294117</v>
      </c>
      <c r="F218" s="188">
        <f>F207/F155</f>
        <v>1393.3333333333333</v>
      </c>
      <c r="G218" s="131">
        <f>G207/G155</f>
        <v>1528.0892857142858</v>
      </c>
      <c r="H218" s="15">
        <f>G218*(1+H225)</f>
        <v>1626.4895523366183</v>
      </c>
      <c r="I218" s="15">
        <f>H218*(1+I225)</f>
        <v>1731.2262369692505</v>
      </c>
      <c r="J218" s="15">
        <f t="shared" ref="J218:L218" si="141">I218*(1+J225)</f>
        <v>1842.7073689253079</v>
      </c>
      <c r="K218" s="15">
        <f t="shared" si="141"/>
        <v>1961.3672522870515</v>
      </c>
      <c r="L218" s="15">
        <f t="shared" si="141"/>
        <v>2087.6681578517041</v>
      </c>
    </row>
    <row r="219" spans="2:13" outlineLevel="1" x14ac:dyDescent="0.25">
      <c r="B219" s="120" t="s">
        <v>368</v>
      </c>
      <c r="C219" s="63"/>
      <c r="D219" s="34">
        <f>D208/C208-1</f>
        <v>8.9041425818882525E-2</v>
      </c>
      <c r="E219" s="34">
        <f>E208/D208-1</f>
        <v>-0.2980295021783842</v>
      </c>
      <c r="F219" s="34">
        <f>F208/E208-1</f>
        <v>0.24249393528874319</v>
      </c>
      <c r="G219" s="35">
        <f>G208/F208-1</f>
        <v>-0.6136974491607079</v>
      </c>
      <c r="H219" s="20">
        <f>H208/G208-1</f>
        <v>1.6569740728585494</v>
      </c>
      <c r="I219" s="41" cm="1">
        <f t="array" ref="I219">CHOOSE(_xlfn.IFS($N$4="Base",1,$N$4="Bull",2,$N$4="Bear",3),I235,I243,I251)</f>
        <v>8.9041425818882525E-2</v>
      </c>
      <c r="J219" s="20" cm="1">
        <f t="array" ref="J219">CHOOSE(_xlfn.IFS($N$4="Base",1,$N$4="Bull",2,$N$4="Bear",3),J235,J243,J251)</f>
        <v>8.9041425818882525E-2</v>
      </c>
      <c r="K219" s="20" cm="1">
        <f t="array" ref="K219">CHOOSE(_xlfn.IFS($N$4="Base",1,$N$4="Bull",2,$N$4="Bear",3),K235,K243,K251)</f>
        <v>8.9041425818882525E-2</v>
      </c>
      <c r="L219" s="20" cm="1">
        <f t="array" ref="L219">CHOOSE(_xlfn.IFS($N$4="Base",1,$N$4="Bull",2,$N$4="Bear",3),L235,L243,L251)</f>
        <v>8.9041425818882525E-2</v>
      </c>
    </row>
    <row r="220" spans="2:13" outlineLevel="1" x14ac:dyDescent="0.25">
      <c r="B220" s="29" t="s">
        <v>369</v>
      </c>
      <c r="C220" s="34">
        <f>C209/'Income Statement'!B10-1</f>
        <v>0.17153096743630414</v>
      </c>
      <c r="D220" s="34">
        <f>D209/C209-1</f>
        <v>-0.73325832029395732</v>
      </c>
      <c r="E220" s="34">
        <f>E209/D209-1</f>
        <v>-0.12028737147376745</v>
      </c>
      <c r="F220" s="34">
        <f>F209/E209-1</f>
        <v>0.20633850303438983</v>
      </c>
      <c r="G220" s="35">
        <f>G209/F209-1</f>
        <v>0.12825290354636354</v>
      </c>
      <c r="H220" s="41">
        <f>AVERAGE(E220:G220)</f>
        <v>7.1434678368995308E-2</v>
      </c>
      <c r="I220" s="20">
        <f t="shared" ref="I220:L222" si="142">H220</f>
        <v>7.1434678368995308E-2</v>
      </c>
      <c r="J220" s="20">
        <f t="shared" si="142"/>
        <v>7.1434678368995308E-2</v>
      </c>
      <c r="K220" s="20">
        <f t="shared" si="142"/>
        <v>7.1434678368995308E-2</v>
      </c>
      <c r="L220" s="20">
        <f t="shared" si="142"/>
        <v>7.1434678368995308E-2</v>
      </c>
    </row>
    <row r="221" spans="2:13" outlineLevel="1" x14ac:dyDescent="0.25">
      <c r="B221" s="120" t="s">
        <v>402</v>
      </c>
      <c r="D221" s="204"/>
      <c r="E221" s="39"/>
      <c r="F221" s="39"/>
      <c r="G221" s="40"/>
      <c r="H221" s="41">
        <v>0.02</v>
      </c>
      <c r="I221" s="20">
        <f>H221</f>
        <v>0.02</v>
      </c>
      <c r="J221" s="20">
        <f t="shared" si="142"/>
        <v>0.02</v>
      </c>
      <c r="K221" s="20">
        <f t="shared" si="142"/>
        <v>0.02</v>
      </c>
      <c r="L221" s="20">
        <f t="shared" si="142"/>
        <v>0.02</v>
      </c>
    </row>
    <row r="222" spans="2:13" outlineLevel="1" x14ac:dyDescent="0.25">
      <c r="B222" s="120" t="s">
        <v>315</v>
      </c>
      <c r="C222" s="38"/>
      <c r="D222" s="190"/>
      <c r="E222" s="63"/>
      <c r="F222" s="63">
        <f>F215/E215-1</f>
        <v>4.1983026822039138E-2</v>
      </c>
      <c r="G222" s="64">
        <f>G215/F215-1</f>
        <v>2.3914711055338156E-2</v>
      </c>
      <c r="H222" s="41" cm="1">
        <f t="array" ref="H222">CHOOSE(_xlfn.IFS($N$4="Base",1,$N$4="Bull",2,$N$4="Bear",3),H232,H240,H248)</f>
        <v>3.2948868938688647E-2</v>
      </c>
      <c r="I222" s="20">
        <f>H222</f>
        <v>3.2948868938688647E-2</v>
      </c>
      <c r="J222" s="20">
        <f t="shared" si="142"/>
        <v>3.2948868938688647E-2</v>
      </c>
      <c r="K222" s="20">
        <f t="shared" si="142"/>
        <v>3.2948868938688647E-2</v>
      </c>
      <c r="L222" s="20">
        <f t="shared" si="142"/>
        <v>3.2948868938688647E-2</v>
      </c>
    </row>
    <row r="223" spans="2:13" outlineLevel="1" x14ac:dyDescent="0.25">
      <c r="B223" s="120" t="s">
        <v>316</v>
      </c>
      <c r="C223" s="38"/>
      <c r="D223" s="190"/>
      <c r="E223" s="63"/>
      <c r="F223" s="63">
        <f t="shared" ref="F223:G224" si="143">F216/E216-1</f>
        <v>9.2568788703807359E-2</v>
      </c>
      <c r="G223" s="64">
        <f t="shared" si="143"/>
        <v>3.0635175833137795E-2</v>
      </c>
      <c r="H223" s="41" cm="1">
        <f t="array" ref="H223">CHOOSE(_xlfn.IFS($N$4="Base",1,$N$4="Bull",2,$N$4="Bear",3),H233,H241,H249)</f>
        <v>6.1601982268472577E-2</v>
      </c>
      <c r="I223" s="20">
        <f t="shared" ref="I223:I224" si="144">H223</f>
        <v>6.1601982268472577E-2</v>
      </c>
      <c r="J223" s="20">
        <f t="shared" ref="J223:J224" si="145">I223</f>
        <v>6.1601982268472577E-2</v>
      </c>
      <c r="K223" s="20">
        <f t="shared" ref="K223:K224" si="146">J223</f>
        <v>6.1601982268472577E-2</v>
      </c>
      <c r="L223" s="20">
        <f t="shared" ref="L223:L224" si="147">K223</f>
        <v>6.1601982268472577E-2</v>
      </c>
    </row>
    <row r="224" spans="2:13" outlineLevel="1" x14ac:dyDescent="0.25">
      <c r="B224" s="120" t="s">
        <v>320</v>
      </c>
      <c r="C224" s="38"/>
      <c r="D224" s="190"/>
      <c r="E224" s="63"/>
      <c r="F224" s="63">
        <f t="shared" si="143"/>
        <v>-0.12644559980998049</v>
      </c>
      <c r="G224" s="64">
        <f t="shared" si="143"/>
        <v>0.25096270780315377</v>
      </c>
      <c r="H224" s="41" cm="1">
        <f t="array" ref="H224">CHOOSE(_xlfn.IFS($N$4="Base",1,$N$4="Bull",2,$N$4="Bear",3),H234,H242,H250)</f>
        <v>6.2258553996586641E-2</v>
      </c>
      <c r="I224" s="20">
        <f t="shared" si="144"/>
        <v>6.2258553996586641E-2</v>
      </c>
      <c r="J224" s="20">
        <f t="shared" si="145"/>
        <v>6.2258553996586641E-2</v>
      </c>
      <c r="K224" s="20">
        <f t="shared" si="146"/>
        <v>6.2258553996586641E-2</v>
      </c>
      <c r="L224" s="20">
        <f t="shared" si="147"/>
        <v>6.2258553996586641E-2</v>
      </c>
    </row>
    <row r="225" spans="2:12" outlineLevel="1" x14ac:dyDescent="0.25">
      <c r="B225" s="120" t="s">
        <v>314</v>
      </c>
      <c r="C225" s="38"/>
      <c r="D225" s="39">
        <f>D218/C218-1</f>
        <v>2.148456184187042E-2</v>
      </c>
      <c r="E225" s="39">
        <f t="shared" ref="E225:G225" si="148">E218/D218-1</f>
        <v>6.3493704345272128E-2</v>
      </c>
      <c r="F225" s="39">
        <f t="shared" si="148"/>
        <v>7.5884205426356655E-2</v>
      </c>
      <c r="G225" s="40">
        <f t="shared" si="148"/>
        <v>9.6714798359535337E-2</v>
      </c>
      <c r="H225" s="41" cm="1">
        <f t="array" ref="H225">CHOOSE(_xlfn.IFS($N$4="Base",1,$N$4="Bull",2,$N$4="Bear",3),H236,H244,H252)</f>
        <v>6.4394317493258635E-2</v>
      </c>
      <c r="I225" s="245" cm="1">
        <f t="array" ref="I225">CHOOSE(_xlfn.IFS($N$4="Base",1,$N$4="Bull",2,$N$4="Bear",3),I236,I244,I252)</f>
        <v>6.4394317493258635E-2</v>
      </c>
      <c r="J225" s="245" cm="1">
        <f t="array" ref="J225">CHOOSE(_xlfn.IFS($N$4="Base",1,$N$4="Bull",2,$N$4="Bear",3),J236,J244,J252)</f>
        <v>6.4394317493258635E-2</v>
      </c>
      <c r="K225" s="245" cm="1">
        <f t="array" ref="K225">CHOOSE(_xlfn.IFS($N$4="Base",1,$N$4="Bull",2,$N$4="Bear",3),K236,K244,K252)</f>
        <v>6.4394317493258635E-2</v>
      </c>
      <c r="L225" s="245" cm="1">
        <f t="array" ref="L225">CHOOSE(_xlfn.IFS($N$4="Base",1,$N$4="Bull",2,$N$4="Bear",3),L236,L244,L252)</f>
        <v>6.4394317493258635E-2</v>
      </c>
    </row>
    <row r="226" spans="2:12" outlineLevel="1" x14ac:dyDescent="0.25">
      <c r="B226" s="120" t="s">
        <v>372</v>
      </c>
      <c r="C226" s="243">
        <v>3.1E-2</v>
      </c>
      <c r="D226" s="242">
        <f>C226</f>
        <v>3.1E-2</v>
      </c>
      <c r="E226" s="240">
        <v>4.9000000000000002E-2</v>
      </c>
      <c r="F226" s="242">
        <f>E226</f>
        <v>4.9000000000000002E-2</v>
      </c>
      <c r="G226" s="241">
        <v>0.06</v>
      </c>
      <c r="H226" s="147"/>
      <c r="I226" s="20"/>
      <c r="J226" s="20"/>
      <c r="K226" s="20"/>
      <c r="L226" s="20"/>
    </row>
    <row r="227" spans="2:12" outlineLevel="1" x14ac:dyDescent="0.25">
      <c r="B227" s="120" t="s">
        <v>379</v>
      </c>
      <c r="D227" s="39">
        <f t="shared" ref="D227:E227" si="149">D205/C205-1</f>
        <v>0.13833011777429838</v>
      </c>
      <c r="E227" s="39">
        <f t="shared" si="149"/>
        <v>0.72324600330820377</v>
      </c>
      <c r="F227" s="39">
        <f>F205/E205-1</f>
        <v>0.11217065291140571</v>
      </c>
      <c r="G227" s="40">
        <f>G205/F205-1</f>
        <v>0.31869892376732012</v>
      </c>
      <c r="H227" s="41" cm="1">
        <f t="array" ref="H227">CHOOSE(_xlfn.IFS($N$4="Base",1,$N$4="Bull",2,$N$4="Bear",3),H237,H245,H253)</f>
        <v>0.22851452077080925</v>
      </c>
      <c r="I227" s="20" cm="1">
        <f t="array" ref="I227">CHOOSE(_xlfn.IFS($N$4="Base",1,$N$4="Bull",2,$N$4="Bear",3),I237,I245,I253)</f>
        <v>0.22851452077080925</v>
      </c>
      <c r="J227" s="20" cm="1">
        <f t="array" ref="J227">CHOOSE(_xlfn.IFS($N$4="Base",1,$N$4="Bull",2,$N$4="Bear",3),J237,J245,J253)</f>
        <v>0.22851452077080925</v>
      </c>
      <c r="K227" s="20" cm="1">
        <f t="array" ref="K227">CHOOSE(_xlfn.IFS($N$4="Base",1,$N$4="Bull",2,$N$4="Bear",3),K237,K245,K253)</f>
        <v>0.22851452077080925</v>
      </c>
      <c r="L227" s="20" cm="1">
        <f t="array" ref="L227">CHOOSE(_xlfn.IFS($N$4="Base",1,$N$4="Bull",2,$N$4="Bear",3),L237,L245,L253)</f>
        <v>0.22851452077080925</v>
      </c>
    </row>
    <row r="228" spans="2:12" outlineLevel="1" x14ac:dyDescent="0.25">
      <c r="B228" s="120"/>
      <c r="D228" s="39"/>
      <c r="E228" s="39"/>
      <c r="F228" s="39"/>
      <c r="G228" s="40"/>
      <c r="H228" s="147"/>
      <c r="I228" s="20"/>
      <c r="J228" s="20"/>
      <c r="K228" s="20"/>
      <c r="L228" s="20"/>
    </row>
    <row r="229" spans="2:12" ht="26.4" outlineLevel="2" x14ac:dyDescent="0.25">
      <c r="B229" s="224" t="s">
        <v>358</v>
      </c>
      <c r="C229" s="155"/>
      <c r="D229" s="225"/>
      <c r="E229" s="225"/>
      <c r="F229" s="225"/>
      <c r="G229" s="226"/>
      <c r="H229" s="227"/>
      <c r="I229" s="227"/>
      <c r="J229" s="228"/>
      <c r="K229" s="228"/>
      <c r="L229" s="228"/>
    </row>
    <row r="230" spans="2:12" outlineLevel="2" x14ac:dyDescent="0.25">
      <c r="B230" s="229" t="s">
        <v>345</v>
      </c>
      <c r="C230" s="230"/>
      <c r="D230" s="231"/>
      <c r="E230" s="231"/>
      <c r="F230" s="231"/>
      <c r="G230" s="232"/>
      <c r="H230" s="233"/>
      <c r="I230" s="38"/>
      <c r="J230" s="38"/>
      <c r="K230" s="38"/>
      <c r="L230" s="38"/>
    </row>
    <row r="231" spans="2:12" outlineLevel="2" x14ac:dyDescent="0.25">
      <c r="B231" s="230" t="s">
        <v>403</v>
      </c>
      <c r="C231" s="230"/>
      <c r="D231" s="231"/>
      <c r="E231" s="231"/>
      <c r="F231" s="231"/>
      <c r="G231" s="232"/>
      <c r="H231" s="233"/>
      <c r="I231" s="38"/>
      <c r="J231" s="38"/>
      <c r="K231" s="38"/>
      <c r="L231" s="38"/>
    </row>
    <row r="232" spans="2:12" outlineLevel="2" x14ac:dyDescent="0.25">
      <c r="B232" s="258" t="s">
        <v>315</v>
      </c>
      <c r="C232" s="230"/>
      <c r="D232" s="231"/>
      <c r="E232" s="231"/>
      <c r="F232" s="231"/>
      <c r="G232" s="232"/>
      <c r="H232" s="233">
        <f>AVERAGE(F222:G222)</f>
        <v>3.2948868938688647E-2</v>
      </c>
      <c r="I232" s="234">
        <f>H232</f>
        <v>3.2948868938688647E-2</v>
      </c>
      <c r="J232" s="234">
        <f t="shared" ref="J232:L232" si="150">I232</f>
        <v>3.2948868938688647E-2</v>
      </c>
      <c r="K232" s="234">
        <f t="shared" si="150"/>
        <v>3.2948868938688647E-2</v>
      </c>
      <c r="L232" s="234">
        <f t="shared" si="150"/>
        <v>3.2948868938688647E-2</v>
      </c>
    </row>
    <row r="233" spans="2:12" outlineLevel="2" x14ac:dyDescent="0.25">
      <c r="B233" s="259" t="s">
        <v>316</v>
      </c>
      <c r="C233" s="230"/>
      <c r="D233" s="231"/>
      <c r="E233" s="231"/>
      <c r="F233" s="231"/>
      <c r="G233" s="232"/>
      <c r="H233" s="233">
        <f t="shared" ref="H233:H234" si="151">AVERAGE(F223:G223)</f>
        <v>6.1601982268472577E-2</v>
      </c>
      <c r="I233" s="234">
        <f t="shared" ref="I233:L233" si="152">H233</f>
        <v>6.1601982268472577E-2</v>
      </c>
      <c r="J233" s="234">
        <f t="shared" si="152"/>
        <v>6.1601982268472577E-2</v>
      </c>
      <c r="K233" s="234">
        <f t="shared" si="152"/>
        <v>6.1601982268472577E-2</v>
      </c>
      <c r="L233" s="234">
        <f t="shared" si="152"/>
        <v>6.1601982268472577E-2</v>
      </c>
    </row>
    <row r="234" spans="2:12" outlineLevel="2" x14ac:dyDescent="0.25">
      <c r="B234" s="259" t="s">
        <v>320</v>
      </c>
      <c r="C234" s="230"/>
      <c r="D234" s="231"/>
      <c r="E234" s="231"/>
      <c r="F234" s="231"/>
      <c r="G234" s="232"/>
      <c r="H234" s="233">
        <f t="shared" si="151"/>
        <v>6.2258553996586641E-2</v>
      </c>
      <c r="I234" s="234">
        <f t="shared" ref="I234:L234" si="153">H234</f>
        <v>6.2258553996586641E-2</v>
      </c>
      <c r="J234" s="234">
        <f t="shared" si="153"/>
        <v>6.2258553996586641E-2</v>
      </c>
      <c r="K234" s="234">
        <f t="shared" si="153"/>
        <v>6.2258553996586641E-2</v>
      </c>
      <c r="L234" s="234">
        <f t="shared" si="153"/>
        <v>6.2258553996586641E-2</v>
      </c>
    </row>
    <row r="235" spans="2:12" outlineLevel="2" x14ac:dyDescent="0.25">
      <c r="B235" s="230" t="s">
        <v>368</v>
      </c>
      <c r="C235" s="230"/>
      <c r="D235" s="231"/>
      <c r="E235" s="231"/>
      <c r="F235" s="231"/>
      <c r="G235" s="232"/>
      <c r="H235" s="233"/>
      <c r="I235" s="233">
        <f>MEDIAN(D219:F219)</f>
        <v>8.9041425818882525E-2</v>
      </c>
      <c r="J235" s="234">
        <f>I235</f>
        <v>8.9041425818882525E-2</v>
      </c>
      <c r="K235" s="234">
        <f t="shared" ref="K235:L236" si="154">J235</f>
        <v>8.9041425818882525E-2</v>
      </c>
      <c r="L235" s="234">
        <f t="shared" si="154"/>
        <v>8.9041425818882525E-2</v>
      </c>
    </row>
    <row r="236" spans="2:12" outlineLevel="2" x14ac:dyDescent="0.25">
      <c r="B236" s="38" t="s">
        <v>314</v>
      </c>
      <c r="C236" s="230"/>
      <c r="D236" s="231"/>
      <c r="E236" s="231"/>
      <c r="F236" s="231"/>
      <c r="G236" s="232"/>
      <c r="H236" s="233">
        <f>AVERAGE(D225:G225)</f>
        <v>6.4394317493258635E-2</v>
      </c>
      <c r="I236" s="234">
        <f>H236</f>
        <v>6.4394317493258635E-2</v>
      </c>
      <c r="J236" s="234">
        <f t="shared" ref="J236" si="155">I236</f>
        <v>6.4394317493258635E-2</v>
      </c>
      <c r="K236" s="234">
        <f t="shared" si="154"/>
        <v>6.4394317493258635E-2</v>
      </c>
      <c r="L236" s="234">
        <f t="shared" si="154"/>
        <v>6.4394317493258635E-2</v>
      </c>
    </row>
    <row r="237" spans="2:12" outlineLevel="2" x14ac:dyDescent="0.25">
      <c r="B237" s="38" t="s">
        <v>379</v>
      </c>
      <c r="C237" s="230"/>
      <c r="D237" s="231"/>
      <c r="E237" s="231"/>
      <c r="F237" s="231"/>
      <c r="G237" s="232"/>
      <c r="H237" s="233">
        <f>MEDIAN(D227:G227)</f>
        <v>0.22851452077080925</v>
      </c>
      <c r="I237" s="234">
        <f>H237</f>
        <v>0.22851452077080925</v>
      </c>
      <c r="J237" s="234">
        <f t="shared" ref="J237:L237" si="156">I237</f>
        <v>0.22851452077080925</v>
      </c>
      <c r="K237" s="234">
        <f t="shared" si="156"/>
        <v>0.22851452077080925</v>
      </c>
      <c r="L237" s="234">
        <f t="shared" si="156"/>
        <v>0.22851452077080925</v>
      </c>
    </row>
    <row r="238" spans="2:12" outlineLevel="2" x14ac:dyDescent="0.25">
      <c r="B238" s="229" t="s">
        <v>426</v>
      </c>
      <c r="C238" s="230"/>
      <c r="D238" s="231"/>
      <c r="E238" s="231"/>
      <c r="F238" s="231"/>
      <c r="G238" s="232"/>
      <c r="H238" s="38"/>
      <c r="I238" s="38"/>
      <c r="J238" s="38"/>
      <c r="K238" s="38"/>
      <c r="L238" s="38"/>
    </row>
    <row r="239" spans="2:12" outlineLevel="2" x14ac:dyDescent="0.25">
      <c r="B239" s="230" t="s">
        <v>403</v>
      </c>
      <c r="C239" s="230"/>
      <c r="D239" s="231"/>
      <c r="E239" s="231"/>
      <c r="F239" s="231"/>
      <c r="G239" s="232"/>
      <c r="H239" s="38"/>
      <c r="I239" s="38"/>
      <c r="J239" s="38"/>
      <c r="K239" s="38"/>
      <c r="L239" s="38"/>
    </row>
    <row r="240" spans="2:12" outlineLevel="2" x14ac:dyDescent="0.25">
      <c r="B240" s="258" t="s">
        <v>315</v>
      </c>
      <c r="C240" s="230"/>
      <c r="D240" s="231"/>
      <c r="E240" s="231"/>
      <c r="F240" s="231"/>
      <c r="G240" s="232"/>
      <c r="H240" s="121">
        <f>H232+1%</f>
        <v>4.2948868938688649E-2</v>
      </c>
      <c r="I240" s="63">
        <f t="shared" ref="I240:L240" si="157">I232-1%</f>
        <v>2.2948868938688645E-2</v>
      </c>
      <c r="J240" s="63">
        <f t="shared" si="157"/>
        <v>2.2948868938688645E-2</v>
      </c>
      <c r="K240" s="63">
        <f t="shared" si="157"/>
        <v>2.2948868938688645E-2</v>
      </c>
      <c r="L240" s="63">
        <f t="shared" si="157"/>
        <v>2.2948868938688645E-2</v>
      </c>
    </row>
    <row r="241" spans="2:12" outlineLevel="2" x14ac:dyDescent="0.25">
      <c r="B241" s="259" t="s">
        <v>316</v>
      </c>
      <c r="C241" s="230"/>
      <c r="D241" s="231"/>
      <c r="E241" s="231"/>
      <c r="F241" s="231"/>
      <c r="G241" s="232"/>
      <c r="H241" s="121">
        <f>H233+1%</f>
        <v>7.1601982268472572E-2</v>
      </c>
      <c r="I241" s="63">
        <f t="shared" ref="I241:L242" si="158">I233-1%</f>
        <v>5.1601982268472575E-2</v>
      </c>
      <c r="J241" s="63">
        <f t="shared" si="158"/>
        <v>5.1601982268472575E-2</v>
      </c>
      <c r="K241" s="63">
        <f t="shared" si="158"/>
        <v>5.1601982268472575E-2</v>
      </c>
      <c r="L241" s="63">
        <f t="shared" si="158"/>
        <v>5.1601982268472575E-2</v>
      </c>
    </row>
    <row r="242" spans="2:12" outlineLevel="2" x14ac:dyDescent="0.25">
      <c r="B242" s="259" t="s">
        <v>320</v>
      </c>
      <c r="C242" s="230"/>
      <c r="D242" s="231"/>
      <c r="E242" s="231"/>
      <c r="F242" s="231"/>
      <c r="G242" s="232"/>
      <c r="H242" s="121">
        <f>H234+1%</f>
        <v>7.2258553996586636E-2</v>
      </c>
      <c r="I242" s="63">
        <f t="shared" si="158"/>
        <v>5.2258553996586639E-2</v>
      </c>
      <c r="J242" s="63">
        <f t="shared" si="158"/>
        <v>5.2258553996586639E-2</v>
      </c>
      <c r="K242" s="63">
        <f t="shared" si="158"/>
        <v>5.2258553996586639E-2</v>
      </c>
      <c r="L242" s="63">
        <f t="shared" si="158"/>
        <v>5.2258553996586639E-2</v>
      </c>
    </row>
    <row r="243" spans="2:12" outlineLevel="2" x14ac:dyDescent="0.25">
      <c r="B243" s="230" t="s">
        <v>368</v>
      </c>
      <c r="C243" s="230"/>
      <c r="D243" s="231"/>
      <c r="E243" s="231"/>
      <c r="F243" s="231"/>
      <c r="G243" s="232"/>
      <c r="H243" s="233"/>
      <c r="I243" s="233">
        <f>I235+1%</f>
        <v>9.904142581888252E-2</v>
      </c>
      <c r="J243" s="234">
        <f>I243</f>
        <v>9.904142581888252E-2</v>
      </c>
      <c r="K243" s="234">
        <f>J243</f>
        <v>9.904142581888252E-2</v>
      </c>
      <c r="L243" s="234">
        <f>K243</f>
        <v>9.904142581888252E-2</v>
      </c>
    </row>
    <row r="244" spans="2:12" outlineLevel="2" x14ac:dyDescent="0.25">
      <c r="B244" s="38" t="s">
        <v>314</v>
      </c>
      <c r="C244" s="230"/>
      <c r="D244" s="231"/>
      <c r="E244" s="231"/>
      <c r="F244" s="231"/>
      <c r="G244" s="232"/>
      <c r="H244" s="233">
        <f>H236+1%</f>
        <v>7.439431749325863E-2</v>
      </c>
      <c r="I244" s="234">
        <f>H244</f>
        <v>7.439431749325863E-2</v>
      </c>
      <c r="J244" s="234">
        <f t="shared" ref="J244:L245" si="159">I244</f>
        <v>7.439431749325863E-2</v>
      </c>
      <c r="K244" s="234">
        <f t="shared" si="159"/>
        <v>7.439431749325863E-2</v>
      </c>
      <c r="L244" s="234">
        <f t="shared" si="159"/>
        <v>7.439431749325863E-2</v>
      </c>
    </row>
    <row r="245" spans="2:12" outlineLevel="2" x14ac:dyDescent="0.25">
      <c r="B245" s="38" t="s">
        <v>379</v>
      </c>
      <c r="C245" s="230"/>
      <c r="D245" s="231"/>
      <c r="E245" s="231"/>
      <c r="F245" s="231"/>
      <c r="G245" s="232"/>
      <c r="H245" s="233">
        <f>H237+1%</f>
        <v>0.23851452077080926</v>
      </c>
      <c r="I245" s="234">
        <f>H245</f>
        <v>0.23851452077080926</v>
      </c>
      <c r="J245" s="234">
        <f t="shared" si="159"/>
        <v>0.23851452077080926</v>
      </c>
      <c r="K245" s="234">
        <f t="shared" si="159"/>
        <v>0.23851452077080926</v>
      </c>
      <c r="L245" s="234">
        <f t="shared" si="159"/>
        <v>0.23851452077080926</v>
      </c>
    </row>
    <row r="246" spans="2:12" outlineLevel="2" x14ac:dyDescent="0.25">
      <c r="B246" s="229" t="s">
        <v>427</v>
      </c>
      <c r="C246" s="230"/>
      <c r="D246" s="231"/>
      <c r="E246" s="231"/>
      <c r="F246" s="231"/>
      <c r="G246" s="232"/>
      <c r="H246" s="38"/>
      <c r="I246" s="38"/>
      <c r="J246" s="38"/>
      <c r="K246" s="38"/>
      <c r="L246" s="38"/>
    </row>
    <row r="247" spans="2:12" outlineLevel="2" x14ac:dyDescent="0.25">
      <c r="B247" s="230" t="s">
        <v>403</v>
      </c>
      <c r="C247" s="230"/>
      <c r="D247" s="231"/>
      <c r="E247" s="231"/>
      <c r="F247" s="231"/>
      <c r="G247" s="232"/>
      <c r="H247" s="38"/>
      <c r="I247" s="38"/>
      <c r="J247" s="38"/>
      <c r="K247" s="38"/>
      <c r="L247" s="38"/>
    </row>
    <row r="248" spans="2:12" outlineLevel="2" x14ac:dyDescent="0.25">
      <c r="B248" s="258" t="s">
        <v>315</v>
      </c>
      <c r="C248" s="230"/>
      <c r="D248" s="231"/>
      <c r="E248" s="231"/>
      <c r="F248" s="231"/>
      <c r="G248" s="232"/>
      <c r="H248" s="121">
        <f>H232-1%</f>
        <v>2.2948868938688645E-2</v>
      </c>
      <c r="I248" s="63">
        <f>H248</f>
        <v>2.2948868938688645E-2</v>
      </c>
      <c r="J248" s="63">
        <f t="shared" ref="J248:L248" si="160">I248</f>
        <v>2.2948868938688645E-2</v>
      </c>
      <c r="K248" s="63">
        <f t="shared" si="160"/>
        <v>2.2948868938688645E-2</v>
      </c>
      <c r="L248" s="63">
        <f t="shared" si="160"/>
        <v>2.2948868938688645E-2</v>
      </c>
    </row>
    <row r="249" spans="2:12" outlineLevel="2" x14ac:dyDescent="0.25">
      <c r="B249" s="259" t="s">
        <v>316</v>
      </c>
      <c r="C249" s="230"/>
      <c r="D249" s="231"/>
      <c r="E249" s="231"/>
      <c r="F249" s="231"/>
      <c r="G249" s="232"/>
      <c r="H249" s="121">
        <f t="shared" ref="H249:H250" si="161">H233-1%</f>
        <v>5.1601982268472575E-2</v>
      </c>
      <c r="I249" s="63">
        <f t="shared" ref="I249:L250" si="162">H249</f>
        <v>5.1601982268472575E-2</v>
      </c>
      <c r="J249" s="63">
        <f t="shared" si="162"/>
        <v>5.1601982268472575E-2</v>
      </c>
      <c r="K249" s="63">
        <f t="shared" si="162"/>
        <v>5.1601982268472575E-2</v>
      </c>
      <c r="L249" s="63">
        <f t="shared" si="162"/>
        <v>5.1601982268472575E-2</v>
      </c>
    </row>
    <row r="250" spans="2:12" outlineLevel="2" x14ac:dyDescent="0.25">
      <c r="B250" s="259" t="s">
        <v>320</v>
      </c>
      <c r="C250" s="230"/>
      <c r="D250" s="231"/>
      <c r="E250" s="231"/>
      <c r="F250" s="231"/>
      <c r="G250" s="232"/>
      <c r="H250" s="121">
        <f t="shared" si="161"/>
        <v>5.2258553996586639E-2</v>
      </c>
      <c r="I250" s="63">
        <f t="shared" si="162"/>
        <v>5.2258553996586639E-2</v>
      </c>
      <c r="J250" s="63">
        <f t="shared" si="162"/>
        <v>5.2258553996586639E-2</v>
      </c>
      <c r="K250" s="63">
        <f t="shared" si="162"/>
        <v>5.2258553996586639E-2</v>
      </c>
      <c r="L250" s="63">
        <f t="shared" si="162"/>
        <v>5.2258553996586639E-2</v>
      </c>
    </row>
    <row r="251" spans="2:12" outlineLevel="2" x14ac:dyDescent="0.25">
      <c r="B251" s="230" t="s">
        <v>368</v>
      </c>
      <c r="C251" s="230"/>
      <c r="D251" s="231"/>
      <c r="E251" s="231"/>
      <c r="F251" s="231"/>
      <c r="G251" s="232"/>
      <c r="H251" s="233"/>
      <c r="I251" s="233">
        <f>I235-2%</f>
        <v>6.9041425818882521E-2</v>
      </c>
      <c r="J251" s="234">
        <f>I251</f>
        <v>6.9041425818882521E-2</v>
      </c>
      <c r="K251" s="234">
        <f>J251</f>
        <v>6.9041425818882521E-2</v>
      </c>
      <c r="L251" s="234">
        <f>K251</f>
        <v>6.9041425818882521E-2</v>
      </c>
    </row>
    <row r="252" spans="2:12" outlineLevel="2" x14ac:dyDescent="0.25">
      <c r="B252" s="38" t="s">
        <v>314</v>
      </c>
      <c r="C252" s="230"/>
      <c r="D252" s="231"/>
      <c r="E252" s="231"/>
      <c r="F252" s="231"/>
      <c r="G252" s="232"/>
      <c r="H252" s="233">
        <f>H236-1%</f>
        <v>5.4394317493258633E-2</v>
      </c>
      <c r="I252" s="234">
        <f>H252</f>
        <v>5.4394317493258633E-2</v>
      </c>
      <c r="J252" s="234">
        <f t="shared" ref="J252:L253" si="163">I252</f>
        <v>5.4394317493258633E-2</v>
      </c>
      <c r="K252" s="234">
        <f t="shared" si="163"/>
        <v>5.4394317493258633E-2</v>
      </c>
      <c r="L252" s="234">
        <f t="shared" si="163"/>
        <v>5.4394317493258633E-2</v>
      </c>
    </row>
    <row r="253" spans="2:12" outlineLevel="2" x14ac:dyDescent="0.25">
      <c r="B253" s="38" t="s">
        <v>379</v>
      </c>
      <c r="C253" s="230"/>
      <c r="D253" s="231"/>
      <c r="E253" s="231"/>
      <c r="F253" s="231"/>
      <c r="G253" s="232"/>
      <c r="H253" s="233">
        <f>H237-1%</f>
        <v>0.21851452077080924</v>
      </c>
      <c r="I253" s="234">
        <f>H253</f>
        <v>0.21851452077080924</v>
      </c>
      <c r="J253" s="234">
        <f t="shared" si="163"/>
        <v>0.21851452077080924</v>
      </c>
      <c r="K253" s="234">
        <f t="shared" si="163"/>
        <v>0.21851452077080924</v>
      </c>
      <c r="L253" s="234">
        <f t="shared" si="163"/>
        <v>0.21851452077080924</v>
      </c>
    </row>
    <row r="254" spans="2:12" outlineLevel="1" x14ac:dyDescent="0.25">
      <c r="D254" s="39"/>
      <c r="E254" s="39"/>
      <c r="F254" s="39"/>
      <c r="G254" s="40"/>
      <c r="H254" s="147"/>
      <c r="I254" s="20"/>
      <c r="J254" s="20"/>
      <c r="K254" s="20"/>
      <c r="L254" s="20"/>
    </row>
    <row r="255" spans="2:12" outlineLevel="1" x14ac:dyDescent="0.25">
      <c r="C255" s="158" t="s">
        <v>153</v>
      </c>
      <c r="D255" s="158"/>
      <c r="E255" s="158"/>
      <c r="F255" s="158"/>
      <c r="G255" s="159"/>
      <c r="H255" s="158"/>
      <c r="I255" s="158"/>
      <c r="J255" s="158"/>
      <c r="K255" s="158"/>
      <c r="L255" s="158"/>
    </row>
    <row r="256" spans="2:12" outlineLevel="1" x14ac:dyDescent="0.25">
      <c r="C256" s="23">
        <f>$C$7</f>
        <v>2021</v>
      </c>
      <c r="D256" s="23">
        <f>$D$7</f>
        <v>2022</v>
      </c>
      <c r="E256" s="23">
        <f>$E$7</f>
        <v>2023</v>
      </c>
      <c r="F256" s="23">
        <f>$F$7</f>
        <v>2024</v>
      </c>
      <c r="G256" s="27">
        <f>$G$7</f>
        <v>2025</v>
      </c>
      <c r="H256" s="24">
        <f>$H$7</f>
        <v>2026</v>
      </c>
      <c r="I256" s="24">
        <f>$I$7</f>
        <v>2027</v>
      </c>
      <c r="J256" s="24">
        <f>$J$7</f>
        <v>2028</v>
      </c>
      <c r="K256" s="24">
        <f>$K$7</f>
        <v>2029</v>
      </c>
      <c r="L256" s="24">
        <f>$L$7</f>
        <v>2030</v>
      </c>
    </row>
    <row r="257" spans="1:12" outlineLevel="1" x14ac:dyDescent="0.25">
      <c r="B257" t="s">
        <v>13</v>
      </c>
      <c r="C257" s="45">
        <f>'Income Statement'!C15</f>
        <v>-2912489</v>
      </c>
      <c r="D257" s="45">
        <f>'Income Statement'!D15</f>
        <v>-3340062</v>
      </c>
      <c r="E257" s="45">
        <f>'Income Statement'!E15</f>
        <v>-3622354</v>
      </c>
      <c r="F257" s="45">
        <f>'Income Statement'!F15</f>
        <v>-4029490</v>
      </c>
      <c r="G257" s="46">
        <f>'Income Statement'!G15</f>
        <v>-4341358</v>
      </c>
      <c r="H257" s="15">
        <f>-H206*H261</f>
        <v>-4710720.3301137313</v>
      </c>
      <c r="I257" s="15">
        <f>-I206*I261</f>
        <v>-5165199.0220085382</v>
      </c>
      <c r="J257" s="15">
        <f>-J206*J261</f>
        <v>-5432374.244618522</v>
      </c>
      <c r="K257" s="15">
        <f>-K206*K261</f>
        <v>-5780084.1698236791</v>
      </c>
      <c r="L257" s="15">
        <f>-L206*L261</f>
        <v>-6104616.5356670283</v>
      </c>
    </row>
    <row r="258" spans="1:12" outlineLevel="1" x14ac:dyDescent="0.25">
      <c r="B258" t="s">
        <v>18</v>
      </c>
      <c r="C258" s="45">
        <f>'Income Statement'!C14</f>
        <v>-39513</v>
      </c>
      <c r="D258" s="45">
        <f>'Income Statement'!D14</f>
        <v>-43074</v>
      </c>
      <c r="E258" s="45">
        <f>'Income Statement'!E14</f>
        <v>-30157</v>
      </c>
      <c r="F258" s="45">
        <f>'Income Statement'!F14</f>
        <v>-37484</v>
      </c>
      <c r="G258" s="46">
        <f>'Income Statement'!G14</f>
        <v>-14364</v>
      </c>
      <c r="H258" s="15">
        <f>H208*-H262</f>
        <v>-38436.001794439617</v>
      </c>
      <c r="I258" s="15">
        <f>I208*-I262</f>
        <v>-41858.39819699365</v>
      </c>
      <c r="J258" s="15">
        <f>J208*-J262</f>
        <v>-45585.529654948499</v>
      </c>
      <c r="K258" s="15">
        <f>K208*-K262</f>
        <v>-49644.530212134065</v>
      </c>
      <c r="L258" s="15">
        <f>L208*-L262</f>
        <v>-54064.949966331071</v>
      </c>
    </row>
    <row r="259" spans="1:12" outlineLevel="1" x14ac:dyDescent="0.25">
      <c r="B259" t="s">
        <v>19</v>
      </c>
      <c r="C259" s="49">
        <f>'Income Statement'!C16</f>
        <v>-23336</v>
      </c>
      <c r="D259" s="49">
        <f>'Income Statement'!D16</f>
        <v>-1809</v>
      </c>
      <c r="E259" s="49" t="str">
        <f>'Income Statement'!E16</f>
        <v>-</v>
      </c>
      <c r="F259" s="49" t="str">
        <f>'Income Statement'!F16</f>
        <v>-</v>
      </c>
      <c r="G259" s="50" t="str">
        <f>'Income Statement'!G16</f>
        <v>-</v>
      </c>
      <c r="H259" s="222">
        <v>0</v>
      </c>
      <c r="I259" s="17">
        <f>H259</f>
        <v>0</v>
      </c>
      <c r="J259" s="17">
        <f t="shared" ref="J259:L259" si="164">I259</f>
        <v>0</v>
      </c>
      <c r="K259" s="17">
        <f t="shared" si="164"/>
        <v>0</v>
      </c>
      <c r="L259" s="17">
        <f t="shared" si="164"/>
        <v>0</v>
      </c>
    </row>
    <row r="260" spans="1:12" outlineLevel="1" x14ac:dyDescent="0.25">
      <c r="B260" s="29" t="s">
        <v>135</v>
      </c>
      <c r="C260" s="15">
        <f t="shared" ref="C260:H260" si="165">SUM(C257:C259)</f>
        <v>-2975338</v>
      </c>
      <c r="D260" s="15">
        <f t="shared" si="165"/>
        <v>-3384945</v>
      </c>
      <c r="E260" s="15">
        <f t="shared" si="165"/>
        <v>-3652511</v>
      </c>
      <c r="F260" s="15">
        <f t="shared" si="165"/>
        <v>-4066974</v>
      </c>
      <c r="G260" s="14">
        <f t="shared" si="165"/>
        <v>-4355722</v>
      </c>
      <c r="H260" s="15">
        <f t="shared" si="165"/>
        <v>-4749156.3319081711</v>
      </c>
      <c r="I260" s="15">
        <f t="shared" ref="I260:L260" si="166">SUM(I257:I259)</f>
        <v>-5207057.4202055316</v>
      </c>
      <c r="J260" s="15">
        <f t="shared" si="166"/>
        <v>-5477959.77427347</v>
      </c>
      <c r="K260" s="15">
        <f t="shared" si="166"/>
        <v>-5829728.7000358133</v>
      </c>
      <c r="L260" s="15">
        <f t="shared" si="166"/>
        <v>-6158681.4856333593</v>
      </c>
    </row>
    <row r="261" spans="1:12" outlineLevel="1" x14ac:dyDescent="0.25">
      <c r="B261" s="120" t="s">
        <v>359</v>
      </c>
      <c r="C261" s="34">
        <f>-C257/C206</f>
        <v>0.84043795856343861</v>
      </c>
      <c r="D261" s="34">
        <f>-D257/D206</f>
        <v>0.84669631062733708</v>
      </c>
      <c r="E261" s="34">
        <f>-E257/E206</f>
        <v>0.84226961805805833</v>
      </c>
      <c r="F261" s="34">
        <f>-F257/F206</f>
        <v>0.84243983894191221</v>
      </c>
      <c r="G261" s="35">
        <f>-G257/G206</f>
        <v>0.84279884762925339</v>
      </c>
      <c r="H261" s="147" cm="1">
        <f t="array" ref="H261">CHOOSE(_xlfn.IFS(N4="Base",1,N4="Bull",2,N4="Bear",3),H265,H266,H267)</f>
        <v>0.84292851476399999</v>
      </c>
      <c r="I261" s="20">
        <f>H261</f>
        <v>0.84292851476399999</v>
      </c>
      <c r="J261" s="20">
        <f t="shared" ref="J261:L261" si="167">I261</f>
        <v>0.84292851476399999</v>
      </c>
      <c r="K261" s="20">
        <f t="shared" si="167"/>
        <v>0.84292851476399999</v>
      </c>
      <c r="L261" s="20">
        <f t="shared" si="167"/>
        <v>0.84292851476399999</v>
      </c>
    </row>
    <row r="262" spans="1:12" outlineLevel="1" x14ac:dyDescent="0.25">
      <c r="B262" s="120" t="s">
        <v>360</v>
      </c>
      <c r="C262" s="34">
        <f>-C258/C208</f>
        <v>0.95166184971098267</v>
      </c>
      <c r="D262" s="34">
        <f>-D258/D208</f>
        <v>0.95260632063162087</v>
      </c>
      <c r="E262" s="34">
        <f>-E258/E208</f>
        <v>0.9500960902303015</v>
      </c>
      <c r="F262" s="34">
        <f>-F258/F208</f>
        <v>0.9504538769714489</v>
      </c>
      <c r="G262" s="35">
        <f>-G258/G208</f>
        <v>0.94282901214309156</v>
      </c>
      <c r="H262" s="147">
        <f>AVERAGE(C262:G262)</f>
        <v>0.94952942993748901</v>
      </c>
      <c r="I262" s="20">
        <f>H262</f>
        <v>0.94952942993748901</v>
      </c>
      <c r="J262" s="20">
        <f t="shared" ref="J262:L262" si="168">I262</f>
        <v>0.94952942993748901</v>
      </c>
      <c r="K262" s="20">
        <f t="shared" si="168"/>
        <v>0.94952942993748901</v>
      </c>
      <c r="L262" s="20">
        <f t="shared" si="168"/>
        <v>0.94952942993748901</v>
      </c>
    </row>
    <row r="263" spans="1:12" outlineLevel="1" x14ac:dyDescent="0.25">
      <c r="B263" s="120"/>
      <c r="C263" s="147"/>
      <c r="D263" s="39"/>
      <c r="F263" s="216"/>
      <c r="G263" s="217"/>
      <c r="H263" s="147"/>
      <c r="I263" s="20"/>
      <c r="J263" s="20"/>
      <c r="K263" s="20"/>
      <c r="L263" s="20"/>
    </row>
    <row r="264" spans="1:12" outlineLevel="1" x14ac:dyDescent="0.25">
      <c r="A264" s="141"/>
      <c r="B264" s="141" t="s">
        <v>352</v>
      </c>
      <c r="C264" s="147"/>
      <c r="D264" s="39"/>
      <c r="F264" s="216"/>
      <c r="G264" s="217"/>
      <c r="H264" s="147"/>
      <c r="I264" s="20"/>
      <c r="J264" s="20"/>
      <c r="K264" s="20"/>
      <c r="L264" s="20"/>
    </row>
    <row r="265" spans="1:12" outlineLevel="1" x14ac:dyDescent="0.25">
      <c r="A265" s="141"/>
      <c r="B265" s="215" t="s">
        <v>345</v>
      </c>
      <c r="C265" s="38"/>
      <c r="D265" s="63"/>
      <c r="E265" s="63"/>
      <c r="F265" s="63"/>
      <c r="G265" s="64"/>
      <c r="H265" s="41">
        <f>AVERAGE(C261:G261)</f>
        <v>0.84292851476399999</v>
      </c>
      <c r="I265" s="214">
        <f>H265</f>
        <v>0.84292851476399999</v>
      </c>
      <c r="J265" s="214">
        <f t="shared" ref="J265:L265" si="169">I265</f>
        <v>0.84292851476399999</v>
      </c>
      <c r="K265" s="214">
        <f t="shared" si="169"/>
        <v>0.84292851476399999</v>
      </c>
      <c r="L265" s="214">
        <f t="shared" si="169"/>
        <v>0.84292851476399999</v>
      </c>
    </row>
    <row r="266" spans="1:12" outlineLevel="1" x14ac:dyDescent="0.25">
      <c r="A266" s="141"/>
      <c r="B266" s="215" t="s">
        <v>426</v>
      </c>
      <c r="C266" s="38"/>
      <c r="D266" s="63"/>
      <c r="E266" s="63"/>
      <c r="F266" s="63"/>
      <c r="G266" s="64"/>
      <c r="H266" s="41">
        <v>0.83</v>
      </c>
      <c r="I266" s="214">
        <f t="shared" ref="I266:L267" si="170">H266</f>
        <v>0.83</v>
      </c>
      <c r="J266" s="214">
        <f t="shared" si="170"/>
        <v>0.83</v>
      </c>
      <c r="K266" s="214">
        <f t="shared" si="170"/>
        <v>0.83</v>
      </c>
      <c r="L266" s="214">
        <f t="shared" si="170"/>
        <v>0.83</v>
      </c>
    </row>
    <row r="267" spans="1:12" outlineLevel="1" x14ac:dyDescent="0.25">
      <c r="B267" s="215" t="s">
        <v>427</v>
      </c>
      <c r="C267" s="38"/>
      <c r="D267" s="63"/>
      <c r="E267" s="63"/>
      <c r="F267" s="63"/>
      <c r="G267" s="64"/>
      <c r="H267" s="41">
        <v>0.85</v>
      </c>
      <c r="I267" s="214">
        <f t="shared" si="170"/>
        <v>0.85</v>
      </c>
      <c r="J267" s="214">
        <f t="shared" si="170"/>
        <v>0.85</v>
      </c>
      <c r="K267" s="214">
        <f t="shared" si="170"/>
        <v>0.85</v>
      </c>
      <c r="L267" s="214">
        <f t="shared" si="170"/>
        <v>0.85</v>
      </c>
    </row>
    <row r="268" spans="1:12" outlineLevel="1" x14ac:dyDescent="0.25">
      <c r="B268" s="29"/>
      <c r="D268" s="39"/>
      <c r="E268" s="39"/>
      <c r="F268" s="39"/>
      <c r="G268" s="40"/>
      <c r="H268" s="147"/>
      <c r="I268" s="20"/>
      <c r="J268" s="20"/>
      <c r="K268" s="20"/>
      <c r="L268" s="20"/>
    </row>
    <row r="269" spans="1:12" outlineLevel="1" x14ac:dyDescent="0.25">
      <c r="C269" s="158" t="s">
        <v>169</v>
      </c>
      <c r="D269" s="158"/>
      <c r="E269" s="158"/>
      <c r="F269" s="158"/>
      <c r="G269" s="159"/>
      <c r="H269" s="158"/>
      <c r="I269" s="158"/>
      <c r="J269" s="158"/>
      <c r="K269" s="158"/>
      <c r="L269" s="158"/>
    </row>
    <row r="270" spans="1:12" outlineLevel="1" x14ac:dyDescent="0.25">
      <c r="C270" s="23">
        <f>$C$7</f>
        <v>2021</v>
      </c>
      <c r="D270" s="23">
        <f>$D$7</f>
        <v>2022</v>
      </c>
      <c r="E270" s="23">
        <f>$E$7</f>
        <v>2023</v>
      </c>
      <c r="F270" s="23">
        <f>$F$7</f>
        <v>2024</v>
      </c>
      <c r="G270" s="27">
        <f>$G$7</f>
        <v>2025</v>
      </c>
      <c r="H270" s="24">
        <f>$H$7</f>
        <v>2026</v>
      </c>
      <c r="I270" s="24">
        <f>$I$7</f>
        <v>2027</v>
      </c>
      <c r="J270" s="24">
        <f>$J$7</f>
        <v>2028</v>
      </c>
      <c r="K270" s="24">
        <f>$K$7</f>
        <v>2029</v>
      </c>
      <c r="L270" s="24">
        <f>$L$7</f>
        <v>2030</v>
      </c>
    </row>
    <row r="271" spans="1:12" outlineLevel="1" x14ac:dyDescent="0.25">
      <c r="B271" t="s">
        <v>21</v>
      </c>
      <c r="C271" s="45">
        <f>'Income Statement'!C17</f>
        <v>-125416</v>
      </c>
      <c r="D271" s="45">
        <f>'Income Statement'!D17</f>
        <v>-133185</v>
      </c>
      <c r="E271" s="45">
        <f>'Income Statement'!E17</f>
        <v>-134783</v>
      </c>
      <c r="F271" s="45">
        <f>'Income Statement'!F17</f>
        <v>-156385</v>
      </c>
      <c r="G271" s="46">
        <f>'Income Statement'!G17</f>
        <v>-179859</v>
      </c>
      <c r="H271" s="15">
        <f>H278*-H155</f>
        <v>-198742.85566326321</v>
      </c>
      <c r="I271" s="15">
        <f>I278*-I155</f>
        <v>-222574.51219280958</v>
      </c>
      <c r="J271" s="15">
        <f>J278*-J155</f>
        <v>-237142.95182346768</v>
      </c>
      <c r="K271" s="15">
        <f>K278*-K155</f>
        <v>-256489.47560670369</v>
      </c>
      <c r="L271" s="15">
        <f>L278*-L155</f>
        <v>-273083.70315070683</v>
      </c>
    </row>
    <row r="272" spans="1:12" outlineLevel="1" x14ac:dyDescent="0.25">
      <c r="B272" t="s">
        <v>301</v>
      </c>
      <c r="C272" s="186"/>
      <c r="D272" s="186"/>
      <c r="E272" s="45">
        <v>0</v>
      </c>
      <c r="F272" s="45">
        <v>0</v>
      </c>
      <c r="G272" s="46">
        <v>0</v>
      </c>
      <c r="H272" s="43">
        <v>-5000</v>
      </c>
      <c r="I272" s="15">
        <f>H272</f>
        <v>-5000</v>
      </c>
      <c r="J272" s="15">
        <f t="shared" ref="J272:L272" si="171">I272</f>
        <v>-5000</v>
      </c>
      <c r="K272" s="15">
        <f t="shared" si="171"/>
        <v>-5000</v>
      </c>
      <c r="L272" s="15">
        <f t="shared" si="171"/>
        <v>-5000</v>
      </c>
    </row>
    <row r="273" spans="2:12" outlineLevel="1" x14ac:dyDescent="0.25">
      <c r="B273" t="s">
        <v>22</v>
      </c>
      <c r="C273" s="45">
        <f>'Income Statement'!C18</f>
        <v>-359221</v>
      </c>
      <c r="D273" s="45">
        <f>'Income Statement'!D18</f>
        <v>-378161</v>
      </c>
      <c r="E273" s="45">
        <f>'Income Statement'!E18</f>
        <v>-417272</v>
      </c>
      <c r="F273" s="45">
        <f>'Income Statement'!F18</f>
        <v>-466457</v>
      </c>
      <c r="G273" s="46">
        <f>'Income Statement'!G18</f>
        <v>-498409</v>
      </c>
      <c r="H273" s="15">
        <f>H279*-H155</f>
        <v>-545780.08785446628</v>
      </c>
      <c r="I273" s="15">
        <f>I279*-I155</f>
        <v>-605722.98097352288</v>
      </c>
      <c r="J273" s="15">
        <f>J279*-J155</f>
        <v>-639560.01173456595</v>
      </c>
      <c r="K273" s="15">
        <f>K279*-K155</f>
        <v>-685508.88741290488</v>
      </c>
      <c r="L273" s="15">
        <f>L279*-L155</f>
        <v>-723288.87149171485</v>
      </c>
    </row>
    <row r="274" spans="2:12" outlineLevel="1" x14ac:dyDescent="0.25">
      <c r="B274" t="s">
        <v>23</v>
      </c>
      <c r="C274" s="45">
        <f>'Income Statement'!C19</f>
        <v>-849</v>
      </c>
      <c r="D274" s="45">
        <f>'Income Statement'!D19</f>
        <v>-1471</v>
      </c>
      <c r="E274" s="45">
        <f>'Income Statement'!E19</f>
        <v>-1432</v>
      </c>
      <c r="F274" s="45">
        <f>'Income Statement'!F19</f>
        <v>-970</v>
      </c>
      <c r="G274" s="46">
        <f>'Income Statement'!G19</f>
        <v>-1127</v>
      </c>
      <c r="H274" s="15">
        <f>H280*H154</f>
        <v>-1855.1999999999998</v>
      </c>
      <c r="I274" s="15">
        <f>I280*I154</f>
        <v>-2473.6</v>
      </c>
      <c r="J274" s="15">
        <f>J280*J154</f>
        <v>-618.4</v>
      </c>
      <c r="K274" s="15">
        <f>K280*K154</f>
        <v>-1236.8</v>
      </c>
      <c r="L274" s="15">
        <f>L280*L154</f>
        <v>-618.4</v>
      </c>
    </row>
    <row r="275" spans="2:12" outlineLevel="1" x14ac:dyDescent="0.25">
      <c r="B275" t="s">
        <v>24</v>
      </c>
      <c r="C275" s="45" t="str">
        <f>'Income Statement'!C20</f>
        <v>-</v>
      </c>
      <c r="D275" s="45" t="str">
        <f>'Income Statement'!D20</f>
        <v>-</v>
      </c>
      <c r="E275" s="45">
        <f>'Income Statement'!E20</f>
        <v>-5658</v>
      </c>
      <c r="F275" s="45" t="str">
        <f>'Income Statement'!F20</f>
        <v>-</v>
      </c>
      <c r="G275" s="46" t="str">
        <f>'Income Statement'!G20</f>
        <v>-</v>
      </c>
      <c r="H275" s="219">
        <v>0</v>
      </c>
      <c r="I275" s="220">
        <f>H275</f>
        <v>0</v>
      </c>
      <c r="J275" s="220">
        <f t="shared" ref="J275:L275" si="172">I275</f>
        <v>0</v>
      </c>
      <c r="K275" s="220">
        <f t="shared" si="172"/>
        <v>0</v>
      </c>
      <c r="L275" s="220">
        <f t="shared" si="172"/>
        <v>0</v>
      </c>
    </row>
    <row r="276" spans="2:12" outlineLevel="1" x14ac:dyDescent="0.25">
      <c r="B276" t="s">
        <v>136</v>
      </c>
      <c r="C276" s="182">
        <f>-C13</f>
        <v>64983</v>
      </c>
      <c r="D276" s="182">
        <f>-D13</f>
        <v>67868</v>
      </c>
      <c r="E276" s="182">
        <f>-E13</f>
        <v>72698</v>
      </c>
      <c r="F276" s="182">
        <f>-F13</f>
        <v>82611</v>
      </c>
      <c r="G276" s="183">
        <f>-G13</f>
        <v>88161</v>
      </c>
      <c r="H276" s="182">
        <f>-H379</f>
        <v>88233.176397545161</v>
      </c>
      <c r="I276" s="182">
        <f t="shared" ref="I276:L276" si="173">-I379</f>
        <v>105722.17243700549</v>
      </c>
      <c r="J276" s="182">
        <f t="shared" si="173"/>
        <v>63147.959800095479</v>
      </c>
      <c r="K276" s="182">
        <f t="shared" si="173"/>
        <v>79114.990380867966</v>
      </c>
      <c r="L276" s="182">
        <f t="shared" si="173"/>
        <v>65430.907988127234</v>
      </c>
    </row>
    <row r="277" spans="2:12" outlineLevel="1" x14ac:dyDescent="0.25">
      <c r="B277" s="29" t="s">
        <v>147</v>
      </c>
      <c r="C277" s="15">
        <f>SUM(C271:C276)</f>
        <v>-420503</v>
      </c>
      <c r="D277" s="15">
        <f t="shared" ref="D277:G277" si="174">SUM(D271:D276)</f>
        <v>-444949</v>
      </c>
      <c r="E277" s="15">
        <f t="shared" si="174"/>
        <v>-486447</v>
      </c>
      <c r="F277" s="15">
        <f t="shared" si="174"/>
        <v>-541201</v>
      </c>
      <c r="G277" s="30">
        <f t="shared" si="174"/>
        <v>-591234</v>
      </c>
      <c r="H277" s="15">
        <f t="shared" ref="H277" si="175">SUM(H271:H276)</f>
        <v>-663144.96712018433</v>
      </c>
      <c r="I277" s="15">
        <f t="shared" ref="I277" si="176">SUM(I271:I276)</f>
        <v>-730048.92072932702</v>
      </c>
      <c r="J277" s="15">
        <f t="shared" ref="J277" si="177">SUM(J271:J276)</f>
        <v>-819173.40375793807</v>
      </c>
      <c r="K277" s="15">
        <f t="shared" ref="K277" si="178">SUM(K271:K276)</f>
        <v>-869120.17263874062</v>
      </c>
      <c r="L277" s="15">
        <f t="shared" ref="L277" si="179">SUM(L271:L276)</f>
        <v>-936560.0666542945</v>
      </c>
    </row>
    <row r="278" spans="2:12" outlineLevel="1" x14ac:dyDescent="0.25">
      <c r="B278" s="120" t="s">
        <v>361</v>
      </c>
      <c r="C278" s="188">
        <f>-C271/C155</f>
        <v>2668.4255319148938</v>
      </c>
      <c r="D278" s="188">
        <f>-D271/D155</f>
        <v>2663.7</v>
      </c>
      <c r="E278" s="188">
        <f>-E271/E155</f>
        <v>2642.8039215686276</v>
      </c>
      <c r="F278" s="188">
        <f>-F271/F155</f>
        <v>2896.0185185185187</v>
      </c>
      <c r="G278" s="131">
        <f>-G271/G155</f>
        <v>3211.7678571428573</v>
      </c>
      <c r="H278" s="189">
        <f>G278*(1+H287)</f>
        <v>3368.5229773434444</v>
      </c>
      <c r="I278" s="15">
        <f t="shared" ref="I278:L279" si="180">H278*(1+I282)</f>
        <v>3532.9287649652315</v>
      </c>
      <c r="J278" s="15">
        <f t="shared" si="180"/>
        <v>3705.3586222416825</v>
      </c>
      <c r="K278" s="15">
        <f t="shared" si="180"/>
        <v>3886.2041758591467</v>
      </c>
      <c r="L278" s="15">
        <f t="shared" si="180"/>
        <v>4075.8761664284602</v>
      </c>
    </row>
    <row r="279" spans="2:12" outlineLevel="1" x14ac:dyDescent="0.25">
      <c r="B279" s="120" t="s">
        <v>362</v>
      </c>
      <c r="C279" s="188">
        <f>-C273/C155</f>
        <v>7643</v>
      </c>
      <c r="D279" s="188">
        <f>-D273/D155</f>
        <v>7563.22</v>
      </c>
      <c r="E279" s="188">
        <f>-E273/E155</f>
        <v>8181.8039215686276</v>
      </c>
      <c r="F279" s="188">
        <f>-F273/F155</f>
        <v>8638.0925925925931</v>
      </c>
      <c r="G279" s="131">
        <f>-G273/G155</f>
        <v>8900.1607142857138</v>
      </c>
      <c r="H279" s="189">
        <f>G279*(1+H288)</f>
        <v>9250.5099636350224</v>
      </c>
      <c r="I279" s="15">
        <f t="shared" si="180"/>
        <v>9614.6504916432204</v>
      </c>
      <c r="J279" s="15">
        <f t="shared" si="180"/>
        <v>9993.125183352593</v>
      </c>
      <c r="K279" s="15">
        <f t="shared" si="180"/>
        <v>10386.498294134923</v>
      </c>
      <c r="L279" s="15">
        <f t="shared" si="180"/>
        <v>10795.356290921118</v>
      </c>
    </row>
    <row r="280" spans="2:12" outlineLevel="1" x14ac:dyDescent="0.25">
      <c r="B280" s="120" t="s">
        <v>302</v>
      </c>
      <c r="C280" s="15">
        <f>C274/D154</f>
        <v>-283</v>
      </c>
      <c r="D280" s="15">
        <f>D274/E154</f>
        <v>-1471</v>
      </c>
      <c r="E280" s="15">
        <f>E274/F154</f>
        <v>-477.33333333333331</v>
      </c>
      <c r="F280" s="15">
        <f>F274/G154</f>
        <v>-485</v>
      </c>
      <c r="G280" s="14">
        <f>G274/H154</f>
        <v>-375.66666666666669</v>
      </c>
      <c r="H280" s="59">
        <f>AVERAGE(C280:G280)</f>
        <v>-618.4</v>
      </c>
      <c r="I280" s="15">
        <f>H280</f>
        <v>-618.4</v>
      </c>
      <c r="J280" s="15">
        <f t="shared" ref="J280:L280" si="181">I280</f>
        <v>-618.4</v>
      </c>
      <c r="K280" s="15">
        <f t="shared" si="181"/>
        <v>-618.4</v>
      </c>
      <c r="L280" s="15">
        <f t="shared" si="181"/>
        <v>-618.4</v>
      </c>
    </row>
    <row r="281" spans="2:12" outlineLevel="1" x14ac:dyDescent="0.25"/>
    <row r="282" spans="2:12" outlineLevel="1" x14ac:dyDescent="0.25">
      <c r="B282" s="120" t="s">
        <v>338</v>
      </c>
      <c r="C282" s="31"/>
      <c r="D282" s="204">
        <f t="shared" ref="D282:G283" si="182">D278/C278-1</f>
        <v>-1.7709064234229244E-3</v>
      </c>
      <c r="E282" s="204">
        <f t="shared" si="182"/>
        <v>-7.8447567035972998E-3</v>
      </c>
      <c r="F282" s="204">
        <f t="shared" si="182"/>
        <v>9.5812858034354909E-2</v>
      </c>
      <c r="G282" s="205">
        <f t="shared" si="182"/>
        <v>0.10902877057079818</v>
      </c>
      <c r="H282" s="187" cm="1">
        <f t="array" ref="H282">CHOOSE(_xlfn.IFS(N4="Base",1,N4="Bull",2,N4="Bear",3),H287,H290,H293)</f>
        <v>4.8806491369533217E-2</v>
      </c>
      <c r="I282" s="39">
        <f>H287</f>
        <v>4.8806491369533217E-2</v>
      </c>
      <c r="J282" s="39">
        <f t="shared" ref="J282:L283" si="183">I282</f>
        <v>4.8806491369533217E-2</v>
      </c>
      <c r="K282" s="39">
        <f t="shared" si="183"/>
        <v>4.8806491369533217E-2</v>
      </c>
      <c r="L282" s="39">
        <f t="shared" si="183"/>
        <v>4.8806491369533217E-2</v>
      </c>
    </row>
    <row r="283" spans="2:12" outlineLevel="1" x14ac:dyDescent="0.25">
      <c r="B283" s="120" t="s">
        <v>339</v>
      </c>
      <c r="C283" s="31"/>
      <c r="D283" s="204">
        <f t="shared" si="182"/>
        <v>-1.0438309564307136E-2</v>
      </c>
      <c r="E283" s="204">
        <f t="shared" si="182"/>
        <v>8.178843423417903E-2</v>
      </c>
      <c r="F283" s="204">
        <f t="shared" si="182"/>
        <v>5.5768712547743959E-2</v>
      </c>
      <c r="G283" s="205">
        <f t="shared" si="182"/>
        <v>3.0338656235040951E-2</v>
      </c>
      <c r="H283" s="187" cm="1">
        <f t="array" ref="H283">CHOOSE(_xlfn.IFS(N4="Base",1,N4="Bull",2,N4="Bear",3),H288,H291,H294)</f>
        <v>3.9364373363164201E-2</v>
      </c>
      <c r="I283" s="39">
        <f>H288</f>
        <v>3.9364373363164201E-2</v>
      </c>
      <c r="J283" s="39">
        <f t="shared" si="183"/>
        <v>3.9364373363164201E-2</v>
      </c>
      <c r="K283" s="39">
        <f t="shared" si="183"/>
        <v>3.9364373363164201E-2</v>
      </c>
      <c r="L283" s="39">
        <f t="shared" si="183"/>
        <v>3.9364373363164201E-2</v>
      </c>
    </row>
    <row r="284" spans="2:12" outlineLevel="1" x14ac:dyDescent="0.25">
      <c r="B284" s="120"/>
      <c r="C284" s="246"/>
      <c r="D284" s="204"/>
      <c r="E284" s="204"/>
      <c r="F284" s="204"/>
      <c r="G284" s="205"/>
      <c r="H284" s="187"/>
      <c r="I284" s="39"/>
      <c r="J284" s="39"/>
      <c r="K284" s="39"/>
      <c r="L284" s="39"/>
    </row>
    <row r="285" spans="2:12" outlineLevel="1" x14ac:dyDescent="0.25">
      <c r="B285" s="141" t="s">
        <v>352</v>
      </c>
      <c r="C285" s="147"/>
      <c r="D285" s="39"/>
      <c r="F285" s="216"/>
      <c r="G285" s="217"/>
      <c r="H285" s="147"/>
      <c r="I285" s="20"/>
      <c r="J285" s="20"/>
      <c r="K285" s="20"/>
      <c r="L285" s="20"/>
    </row>
    <row r="286" spans="2:12" outlineLevel="1" x14ac:dyDescent="0.25">
      <c r="B286" s="215" t="s">
        <v>345</v>
      </c>
      <c r="C286" s="41"/>
      <c r="D286" s="63"/>
      <c r="E286" s="38"/>
      <c r="F286" s="156"/>
      <c r="G286" s="157"/>
      <c r="H286" s="41"/>
      <c r="I286" s="214"/>
      <c r="J286" s="214"/>
      <c r="K286" s="214"/>
      <c r="L286" s="214"/>
    </row>
    <row r="287" spans="2:12" outlineLevel="1" x14ac:dyDescent="0.25">
      <c r="B287" s="244" t="s">
        <v>338</v>
      </c>
      <c r="C287" s="38"/>
      <c r="D287" s="63"/>
      <c r="E287" s="63"/>
      <c r="F287" s="63"/>
      <c r="G287" s="64"/>
      <c r="H287" s="121">
        <f>AVERAGE(D282:G282)</f>
        <v>4.8806491369533217E-2</v>
      </c>
      <c r="I287" s="214">
        <f>H287</f>
        <v>4.8806491369533217E-2</v>
      </c>
      <c r="J287" s="214">
        <f t="shared" ref="J287:J294" si="184">I287</f>
        <v>4.8806491369533217E-2</v>
      </c>
      <c r="K287" s="214">
        <f t="shared" ref="K287:K294" si="185">J287</f>
        <v>4.8806491369533217E-2</v>
      </c>
      <c r="L287" s="214">
        <f t="shared" ref="L287:L294" si="186">K287</f>
        <v>4.8806491369533217E-2</v>
      </c>
    </row>
    <row r="288" spans="2:12" outlineLevel="1" x14ac:dyDescent="0.25">
      <c r="B288" s="244" t="s">
        <v>339</v>
      </c>
      <c r="C288" s="38"/>
      <c r="D288" s="63"/>
      <c r="E288" s="63"/>
      <c r="F288" s="63"/>
      <c r="G288" s="64"/>
      <c r="H288" s="121">
        <f>AVERAGE(D283:G283)</f>
        <v>3.9364373363164201E-2</v>
      </c>
      <c r="I288" s="214">
        <f>H288</f>
        <v>3.9364373363164201E-2</v>
      </c>
      <c r="J288" s="214">
        <f t="shared" si="184"/>
        <v>3.9364373363164201E-2</v>
      </c>
      <c r="K288" s="214">
        <f t="shared" si="185"/>
        <v>3.9364373363164201E-2</v>
      </c>
      <c r="L288" s="214">
        <f t="shared" si="186"/>
        <v>3.9364373363164201E-2</v>
      </c>
    </row>
    <row r="289" spans="2:12" outlineLevel="1" x14ac:dyDescent="0.25">
      <c r="B289" s="215" t="s">
        <v>426</v>
      </c>
      <c r="C289" s="38"/>
      <c r="D289" s="63"/>
      <c r="E289" s="63"/>
      <c r="F289" s="63"/>
      <c r="G289" s="64"/>
      <c r="H289" s="121"/>
      <c r="I289" s="214"/>
      <c r="J289" s="214"/>
      <c r="K289" s="214"/>
      <c r="L289" s="214"/>
    </row>
    <row r="290" spans="2:12" outlineLevel="1" x14ac:dyDescent="0.25">
      <c r="B290" s="244" t="s">
        <v>338</v>
      </c>
      <c r="C290" s="38"/>
      <c r="D290" s="63"/>
      <c r="E290" s="63"/>
      <c r="F290" s="63"/>
      <c r="G290" s="64"/>
      <c r="H290" s="41">
        <f>H287-1%</f>
        <v>3.8806491369533215E-2</v>
      </c>
      <c r="I290" s="214">
        <f t="shared" ref="I290:I293" si="187">H290</f>
        <v>3.8806491369533215E-2</v>
      </c>
      <c r="J290" s="214">
        <f t="shared" si="184"/>
        <v>3.8806491369533215E-2</v>
      </c>
      <c r="K290" s="214">
        <f t="shared" si="185"/>
        <v>3.8806491369533215E-2</v>
      </c>
      <c r="L290" s="214">
        <f t="shared" si="186"/>
        <v>3.8806491369533215E-2</v>
      </c>
    </row>
    <row r="291" spans="2:12" outlineLevel="1" x14ac:dyDescent="0.25">
      <c r="B291" s="244" t="s">
        <v>339</v>
      </c>
      <c r="C291" s="38"/>
      <c r="D291" s="63"/>
      <c r="E291" s="63"/>
      <c r="F291" s="63"/>
      <c r="G291" s="64"/>
      <c r="H291" s="41">
        <f>H288-1%</f>
        <v>2.9364373363164199E-2</v>
      </c>
      <c r="I291" s="214">
        <f>H291</f>
        <v>2.9364373363164199E-2</v>
      </c>
      <c r="J291" s="214">
        <f t="shared" si="184"/>
        <v>2.9364373363164199E-2</v>
      </c>
      <c r="K291" s="214">
        <f t="shared" si="185"/>
        <v>2.9364373363164199E-2</v>
      </c>
      <c r="L291" s="214">
        <f t="shared" si="186"/>
        <v>2.9364373363164199E-2</v>
      </c>
    </row>
    <row r="292" spans="2:12" outlineLevel="1" x14ac:dyDescent="0.25">
      <c r="B292" s="215" t="s">
        <v>427</v>
      </c>
      <c r="C292" s="38"/>
      <c r="D292" s="63"/>
      <c r="E292" s="63"/>
      <c r="F292" s="63"/>
      <c r="G292" s="64"/>
      <c r="H292" s="41"/>
      <c r="I292" s="214"/>
      <c r="J292" s="214"/>
      <c r="K292" s="214"/>
      <c r="L292" s="214"/>
    </row>
    <row r="293" spans="2:12" outlineLevel="1" x14ac:dyDescent="0.25">
      <c r="B293" s="244" t="s">
        <v>338</v>
      </c>
      <c r="C293" s="38"/>
      <c r="D293" s="63"/>
      <c r="E293" s="63"/>
      <c r="F293" s="63"/>
      <c r="G293" s="64"/>
      <c r="H293" s="41">
        <f>H287+1%</f>
        <v>5.8806491369533219E-2</v>
      </c>
      <c r="I293" s="214">
        <f t="shared" si="187"/>
        <v>5.8806491369533219E-2</v>
      </c>
      <c r="J293" s="214">
        <f t="shared" si="184"/>
        <v>5.8806491369533219E-2</v>
      </c>
      <c r="K293" s="214">
        <f t="shared" si="185"/>
        <v>5.8806491369533219E-2</v>
      </c>
      <c r="L293" s="214">
        <f t="shared" si="186"/>
        <v>5.8806491369533219E-2</v>
      </c>
    </row>
    <row r="294" spans="2:12" outlineLevel="1" x14ac:dyDescent="0.25">
      <c r="B294" s="244" t="s">
        <v>339</v>
      </c>
      <c r="C294" s="38"/>
      <c r="D294" s="63"/>
      <c r="E294" s="63"/>
      <c r="F294" s="63"/>
      <c r="G294" s="64"/>
      <c r="H294" s="41">
        <f>H288+1%</f>
        <v>4.9364373363164203E-2</v>
      </c>
      <c r="I294" s="214">
        <f>H294</f>
        <v>4.9364373363164203E-2</v>
      </c>
      <c r="J294" s="214">
        <f t="shared" si="184"/>
        <v>4.9364373363164203E-2</v>
      </c>
      <c r="K294" s="214">
        <f t="shared" si="185"/>
        <v>4.9364373363164203E-2</v>
      </c>
      <c r="L294" s="214">
        <f t="shared" si="186"/>
        <v>4.9364373363164203E-2</v>
      </c>
    </row>
    <row r="295" spans="2:12" outlineLevel="1" x14ac:dyDescent="0.25">
      <c r="B295" s="29"/>
      <c r="D295" s="39"/>
      <c r="E295" s="39"/>
      <c r="F295" s="39"/>
      <c r="G295" s="40"/>
      <c r="H295" s="147"/>
      <c r="I295" s="20"/>
      <c r="J295" s="20"/>
      <c r="K295" s="20"/>
      <c r="L295" s="20"/>
    </row>
    <row r="296" spans="2:12" outlineLevel="1" x14ac:dyDescent="0.25">
      <c r="C296" s="158" t="s">
        <v>168</v>
      </c>
      <c r="D296" s="158"/>
      <c r="E296" s="158"/>
      <c r="F296" s="158"/>
      <c r="G296" s="159"/>
      <c r="H296" s="158"/>
      <c r="I296" s="158"/>
      <c r="J296" s="158"/>
      <c r="K296" s="158"/>
      <c r="L296" s="158"/>
    </row>
    <row r="297" spans="2:12" outlineLevel="1" x14ac:dyDescent="0.25">
      <c r="B297" t="s">
        <v>27</v>
      </c>
      <c r="C297" s="45" t="str">
        <f>'Income Statement'!C23</f>
        <v>-</v>
      </c>
      <c r="D297" s="45" t="str">
        <f>'Income Statement'!D23</f>
        <v>-</v>
      </c>
      <c r="E297" s="45">
        <f>'Income Statement'!E23</f>
        <v>-7179</v>
      </c>
      <c r="F297" s="45" t="str">
        <f>'Income Statement'!F23</f>
        <v>-</v>
      </c>
      <c r="G297" s="46" t="str">
        <f>'Income Statement'!G23</f>
        <v>-</v>
      </c>
      <c r="H297" s="43">
        <v>0</v>
      </c>
      <c r="I297" s="15">
        <f>H297</f>
        <v>0</v>
      </c>
      <c r="J297" s="15">
        <f t="shared" ref="J297:L298" si="188">I297</f>
        <v>0</v>
      </c>
      <c r="K297" s="15">
        <f t="shared" si="188"/>
        <v>0</v>
      </c>
      <c r="L297" s="15">
        <f t="shared" si="188"/>
        <v>0</v>
      </c>
    </row>
    <row r="298" spans="2:12" outlineLevel="1" x14ac:dyDescent="0.25">
      <c r="B298" t="s">
        <v>28</v>
      </c>
      <c r="C298" s="45" t="str">
        <f>'Income Statement'!C24</f>
        <v>-</v>
      </c>
      <c r="D298" s="45" t="str">
        <f>'Income Statement'!D24</f>
        <v>-</v>
      </c>
      <c r="E298" s="45">
        <f>'Income Statement'!E24</f>
        <v>-7747</v>
      </c>
      <c r="F298" s="45" t="str">
        <f>'Income Statement'!F24</f>
        <v>-</v>
      </c>
      <c r="G298" s="46" t="str">
        <f>'Income Statement'!G24</f>
        <v>-</v>
      </c>
      <c r="H298" s="43">
        <v>0</v>
      </c>
      <c r="I298" s="15">
        <f>H298</f>
        <v>0</v>
      </c>
      <c r="J298" s="15">
        <f t="shared" si="188"/>
        <v>0</v>
      </c>
      <c r="K298" s="15">
        <f t="shared" si="188"/>
        <v>0</v>
      </c>
      <c r="L298" s="15">
        <f t="shared" si="188"/>
        <v>0</v>
      </c>
    </row>
    <row r="299" spans="2:12" outlineLevel="1" x14ac:dyDescent="0.25">
      <c r="B299" t="s">
        <v>29</v>
      </c>
      <c r="C299" s="45">
        <f>'Income Statement'!C25</f>
        <v>-5603</v>
      </c>
      <c r="D299" s="45">
        <f>'Income Statement'!D25</f>
        <v>-3235</v>
      </c>
      <c r="E299" s="45">
        <f>'Income Statement'!E25</f>
        <v>-14156</v>
      </c>
      <c r="F299" s="45">
        <f>'Income Statement'!F25</f>
        <v>-17607</v>
      </c>
      <c r="G299" s="46">
        <f>'Income Statement'!G25</f>
        <v>-24636</v>
      </c>
      <c r="H299" s="15">
        <f>-H302*H$8</f>
        <v>-15865.943748760481</v>
      </c>
      <c r="I299" s="15">
        <f t="shared" ref="I299:L299" si="189">-I302*I$8</f>
        <v>-17405.096129118348</v>
      </c>
      <c r="J299" s="15">
        <f t="shared" si="189"/>
        <v>-18319.976907687113</v>
      </c>
      <c r="K299" s="15">
        <f t="shared" si="189"/>
        <v>-19507.322052451018</v>
      </c>
      <c r="L299" s="15">
        <f t="shared" si="189"/>
        <v>-20617.068824181912</v>
      </c>
    </row>
    <row r="300" spans="2:12" outlineLevel="1" x14ac:dyDescent="0.25">
      <c r="B300" t="s">
        <v>30</v>
      </c>
      <c r="C300" s="49">
        <f>'Income Statement'!C26</f>
        <v>-1027</v>
      </c>
      <c r="D300" s="49">
        <f>'Income Statement'!D26</f>
        <v>-1265</v>
      </c>
      <c r="E300" s="49">
        <f>'Income Statement'!E26</f>
        <v>-744</v>
      </c>
      <c r="F300" s="49">
        <f>'Income Statement'!F26</f>
        <v>-2168</v>
      </c>
      <c r="G300" s="50">
        <f>'Income Statement'!G26</f>
        <v>-2467</v>
      </c>
      <c r="H300" s="42">
        <f>-H303*H$8</f>
        <v>-1921.8183566554403</v>
      </c>
      <c r="I300" s="17">
        <f t="shared" ref="I300:L300" si="190">-I303*I$8</f>
        <v>-2108.2536135239616</v>
      </c>
      <c r="J300" s="17">
        <f t="shared" si="190"/>
        <v>-2219.0717723581647</v>
      </c>
      <c r="K300" s="17">
        <f t="shared" si="190"/>
        <v>-2362.8931378581688</v>
      </c>
      <c r="L300" s="17">
        <f t="shared" si="190"/>
        <v>-2497.3151269263049</v>
      </c>
    </row>
    <row r="301" spans="2:12" outlineLevel="1" x14ac:dyDescent="0.25">
      <c r="C301" s="15">
        <f t="shared" ref="C301:H301" si="191">SUM(C297:C300)</f>
        <v>-6630</v>
      </c>
      <c r="D301" s="15">
        <f t="shared" si="191"/>
        <v>-4500</v>
      </c>
      <c r="E301" s="15">
        <f t="shared" si="191"/>
        <v>-29826</v>
      </c>
      <c r="F301" s="15">
        <f t="shared" si="191"/>
        <v>-19775</v>
      </c>
      <c r="G301" s="30">
        <f t="shared" si="191"/>
        <v>-27103</v>
      </c>
      <c r="H301" s="15">
        <f t="shared" si="191"/>
        <v>-17787.762105415921</v>
      </c>
      <c r="I301" s="15">
        <f t="shared" ref="I301:L301" si="192">SUM(I297:I300)</f>
        <v>-19513.349742642309</v>
      </c>
      <c r="J301" s="15">
        <f t="shared" si="192"/>
        <v>-20539.048680045278</v>
      </c>
      <c r="K301" s="15">
        <f t="shared" si="192"/>
        <v>-21870.215190309187</v>
      </c>
      <c r="L301" s="15">
        <f t="shared" si="192"/>
        <v>-23114.383951108215</v>
      </c>
    </row>
    <row r="302" spans="2:12" outlineLevel="1" x14ac:dyDescent="0.25">
      <c r="B302" s="120" t="s">
        <v>363</v>
      </c>
      <c r="C302" s="161">
        <f>-C299/C$8</f>
        <v>1.5478452132686497E-3</v>
      </c>
      <c r="D302" s="161">
        <f t="shared" ref="D302:G302" si="193">-D299/D$8</f>
        <v>7.9560403561846715E-4</v>
      </c>
      <c r="E302" s="161">
        <f t="shared" si="193"/>
        <v>3.2086371180110257E-3</v>
      </c>
      <c r="F302" s="161">
        <f t="shared" si="193"/>
        <v>3.5831024575601693E-3</v>
      </c>
      <c r="G302" s="162">
        <f t="shared" si="193"/>
        <v>4.6746794269703724E-3</v>
      </c>
      <c r="H302" s="53">
        <f>AVERAGE(C302:G302)</f>
        <v>2.7619736502857367E-3</v>
      </c>
      <c r="I302" s="160">
        <f>H302</f>
        <v>2.7619736502857367E-3</v>
      </c>
      <c r="J302" s="160">
        <f t="shared" ref="J302:L303" si="194">I302</f>
        <v>2.7619736502857367E-3</v>
      </c>
      <c r="K302" s="160">
        <f t="shared" si="194"/>
        <v>2.7619736502857367E-3</v>
      </c>
      <c r="L302" s="160">
        <f t="shared" si="194"/>
        <v>2.7619736502857367E-3</v>
      </c>
    </row>
    <row r="303" spans="2:12" outlineLevel="1" x14ac:dyDescent="0.25">
      <c r="B303" s="120" t="s">
        <v>364</v>
      </c>
      <c r="C303" s="163">
        <f>-C300/C$8</f>
        <v>2.8371176762928844E-4</v>
      </c>
      <c r="D303" s="163">
        <f t="shared" ref="D303:G303" si="195">-D300/D$8</f>
        <v>3.1110946060505746E-4</v>
      </c>
      <c r="E303" s="163">
        <f t="shared" si="195"/>
        <v>1.686370454789632E-4</v>
      </c>
      <c r="F303" s="163">
        <f t="shared" si="195"/>
        <v>4.411975991361644E-4</v>
      </c>
      <c r="G303" s="164">
        <f t="shared" si="195"/>
        <v>4.6811309247994437E-4</v>
      </c>
      <c r="H303" s="69">
        <f>AVERAGE(C303:G303)</f>
        <v>3.3455379306588355E-4</v>
      </c>
      <c r="I303" s="68">
        <f>H303</f>
        <v>3.3455379306588355E-4</v>
      </c>
      <c r="J303" s="68">
        <f t="shared" si="194"/>
        <v>3.3455379306588355E-4</v>
      </c>
      <c r="K303" s="68">
        <f t="shared" si="194"/>
        <v>3.3455379306588355E-4</v>
      </c>
      <c r="L303" s="68">
        <f t="shared" si="194"/>
        <v>3.3455379306588355E-4</v>
      </c>
    </row>
    <row r="304" spans="2:12" outlineLevel="1" x14ac:dyDescent="0.25">
      <c r="C304" s="45"/>
      <c r="D304" s="45"/>
      <c r="E304" s="45"/>
      <c r="F304" s="45"/>
      <c r="G304" s="46"/>
    </row>
    <row r="306" spans="2:12" x14ac:dyDescent="0.25">
      <c r="C306" s="136" t="s">
        <v>154</v>
      </c>
      <c r="D306" s="134"/>
      <c r="E306" s="134"/>
      <c r="F306" s="134"/>
      <c r="G306" s="135"/>
      <c r="H306" s="134"/>
      <c r="I306" s="134"/>
      <c r="J306" s="134"/>
      <c r="K306" s="134"/>
      <c r="L306" s="134"/>
    </row>
    <row r="307" spans="2:12" x14ac:dyDescent="0.25">
      <c r="C307" s="23">
        <f>$C$7</f>
        <v>2021</v>
      </c>
      <c r="D307" s="23">
        <f>$D$7</f>
        <v>2022</v>
      </c>
      <c r="E307" s="23">
        <f>$E$7</f>
        <v>2023</v>
      </c>
      <c r="F307" s="23">
        <f>$F$7</f>
        <v>2024</v>
      </c>
      <c r="G307" s="27">
        <f>$G$7</f>
        <v>2025</v>
      </c>
      <c r="H307" s="24">
        <f>$H$7</f>
        <v>2026</v>
      </c>
      <c r="I307" s="24">
        <f>$I$7</f>
        <v>2027</v>
      </c>
      <c r="J307" s="24">
        <f>$J$7</f>
        <v>2028</v>
      </c>
      <c r="K307" s="24">
        <f>$K$7</f>
        <v>2029</v>
      </c>
      <c r="L307" s="24">
        <f>$L$7</f>
        <v>2030</v>
      </c>
    </row>
    <row r="308" spans="2:12" x14ac:dyDescent="0.25">
      <c r="B308" t="s">
        <v>155</v>
      </c>
      <c r="C308" s="31"/>
      <c r="D308" s="31"/>
      <c r="E308" s="31"/>
      <c r="F308" s="31"/>
      <c r="G308" s="32"/>
      <c r="H308" s="15">
        <f ca="1">H51+H62</f>
        <v>130783.64630572926</v>
      </c>
      <c r="I308" s="15">
        <f ca="1">I51+I62</f>
        <v>108806.09764717927</v>
      </c>
      <c r="J308" s="15">
        <f ca="1">J51+J62</f>
        <v>149839.26108875748</v>
      </c>
      <c r="K308" s="15">
        <f ca="1">K51+K62</f>
        <v>149179.71787885521</v>
      </c>
      <c r="L308" s="15">
        <f ca="1">L51+L62</f>
        <v>173383.83231083886</v>
      </c>
    </row>
    <row r="309" spans="2:12" x14ac:dyDescent="0.25">
      <c r="B309" t="s">
        <v>145</v>
      </c>
      <c r="C309" s="38"/>
      <c r="D309" s="38"/>
      <c r="E309" s="38"/>
      <c r="F309" s="38"/>
      <c r="G309" s="72"/>
      <c r="H309" s="15">
        <f ca="1">H420</f>
        <v>-47284.275886423267</v>
      </c>
      <c r="I309" s="15">
        <f ca="1">I420</f>
        <v>-50505.50606340426</v>
      </c>
      <c r="J309" s="15">
        <f ca="1">J420</f>
        <v>-53709.602263905894</v>
      </c>
      <c r="K309" s="15">
        <f ca="1">K420</f>
        <v>-56630.285475011115</v>
      </c>
      <c r="L309" s="15">
        <f ca="1">L420</f>
        <v>-61085.19605864695</v>
      </c>
    </row>
    <row r="310" spans="2:12" x14ac:dyDescent="0.25">
      <c r="B310" t="s">
        <v>156</v>
      </c>
      <c r="C310" s="38"/>
      <c r="D310" s="38"/>
      <c r="E310" s="38"/>
      <c r="F310" s="38"/>
      <c r="G310" s="72"/>
      <c r="H310" s="15">
        <f t="shared" ref="H310:L310" si="196">H413</f>
        <v>-5000</v>
      </c>
      <c r="I310" s="15">
        <f t="shared" si="196"/>
        <v>-5000</v>
      </c>
      <c r="J310" s="15">
        <f t="shared" si="196"/>
        <v>-5000</v>
      </c>
      <c r="K310" s="15">
        <f t="shared" si="196"/>
        <v>-5000</v>
      </c>
      <c r="L310" s="15">
        <f t="shared" si="196"/>
        <v>-5000</v>
      </c>
    </row>
    <row r="311" spans="2:12" x14ac:dyDescent="0.25">
      <c r="B311" t="s">
        <v>146</v>
      </c>
      <c r="C311" s="38"/>
      <c r="D311" s="38"/>
      <c r="E311" s="38"/>
      <c r="F311" s="38"/>
      <c r="G311" s="72"/>
      <c r="H311" s="43">
        <v>0</v>
      </c>
      <c r="I311" s="15">
        <f>H311</f>
        <v>0</v>
      </c>
      <c r="J311" s="15">
        <f t="shared" ref="J311:L311" si="197">I311</f>
        <v>0</v>
      </c>
      <c r="K311" s="15">
        <f t="shared" si="197"/>
        <v>0</v>
      </c>
      <c r="L311" s="15">
        <f t="shared" si="197"/>
        <v>0</v>
      </c>
    </row>
    <row r="312" spans="2:12" x14ac:dyDescent="0.25">
      <c r="B312" t="s">
        <v>199</v>
      </c>
      <c r="C312" s="38"/>
      <c r="D312" s="38"/>
      <c r="E312" s="38"/>
      <c r="F312" s="38"/>
      <c r="G312" s="72"/>
      <c r="H312" s="15">
        <f>G103</f>
        <v>241024</v>
      </c>
      <c r="I312" s="15">
        <f ca="1">H103</f>
        <v>307237.37041930598</v>
      </c>
      <c r="J312" s="15">
        <f ca="1">I103</f>
        <v>360537.96200308099</v>
      </c>
      <c r="K312" s="15">
        <f ca="1">J103</f>
        <v>451667.62082793261</v>
      </c>
      <c r="L312" s="15">
        <f ca="1">K103</f>
        <v>539217.05323177669</v>
      </c>
    </row>
    <row r="313" spans="2:12" x14ac:dyDescent="0.25">
      <c r="B313" t="s">
        <v>157</v>
      </c>
      <c r="C313" s="38"/>
      <c r="D313" s="38"/>
      <c r="E313" s="38"/>
      <c r="F313" s="38"/>
      <c r="G313" s="72"/>
      <c r="H313" s="100">
        <v>-100000</v>
      </c>
      <c r="I313" s="15">
        <f>H313</f>
        <v>-100000</v>
      </c>
      <c r="J313" s="15">
        <f t="shared" ref="J313:L313" si="198">I313</f>
        <v>-100000</v>
      </c>
      <c r="K313" s="15">
        <f t="shared" si="198"/>
        <v>-100000</v>
      </c>
      <c r="L313" s="15">
        <f t="shared" si="198"/>
        <v>-100000</v>
      </c>
    </row>
    <row r="314" spans="2:12" x14ac:dyDescent="0.25">
      <c r="B314" t="s">
        <v>160</v>
      </c>
      <c r="C314" s="73"/>
      <c r="D314" s="73"/>
      <c r="E314" s="73"/>
      <c r="F314" s="73"/>
      <c r="G314" s="74"/>
      <c r="H314" s="42">
        <f>H319</f>
        <v>-38675</v>
      </c>
      <c r="I314" s="17">
        <f t="shared" ref="I314:L314" si="199">I319</f>
        <v>-53418</v>
      </c>
      <c r="J314" s="17">
        <f t="shared" si="199"/>
        <v>-32437</v>
      </c>
      <c r="K314" s="17">
        <f t="shared" si="199"/>
        <v>-17934</v>
      </c>
      <c r="L314" s="17">
        <f t="shared" si="199"/>
        <v>-3729</v>
      </c>
    </row>
    <row r="315" spans="2:12" x14ac:dyDescent="0.25">
      <c r="B315" t="s">
        <v>183</v>
      </c>
      <c r="C315" s="31"/>
      <c r="D315" s="31"/>
      <c r="E315" s="31"/>
      <c r="F315" s="31"/>
      <c r="G315" s="32"/>
      <c r="H315" s="15">
        <f ca="1">SUM(H308:H314)</f>
        <v>180848.37041930598</v>
      </c>
      <c r="I315" s="15">
        <f t="shared" ref="I315:L315" ca="1" si="200">SUM(I308:I314)</f>
        <v>207119.96200308099</v>
      </c>
      <c r="J315" s="15">
        <f t="shared" ca="1" si="200"/>
        <v>319230.62082793261</v>
      </c>
      <c r="K315" s="15">
        <f t="shared" ca="1" si="200"/>
        <v>421283.05323177669</v>
      </c>
      <c r="L315" s="15">
        <f t="shared" ca="1" si="200"/>
        <v>542786.68948396854</v>
      </c>
    </row>
    <row r="317" spans="2:12" x14ac:dyDescent="0.25">
      <c r="B317" t="s">
        <v>158</v>
      </c>
      <c r="C317" s="45">
        <f>'Balance Sheet'!B45+'Balance Sheet'!B37</f>
        <v>132047</v>
      </c>
      <c r="D317" s="15">
        <f>C320</f>
        <v>129505</v>
      </c>
      <c r="E317" s="15">
        <f t="shared" ref="E317:G317" si="201">D320</f>
        <v>137271</v>
      </c>
      <c r="F317" s="15">
        <f t="shared" si="201"/>
        <v>139680</v>
      </c>
      <c r="G317" s="14">
        <f t="shared" si="201"/>
        <v>130360</v>
      </c>
      <c r="H317" s="15">
        <f>G320</f>
        <v>186597</v>
      </c>
      <c r="I317" s="15">
        <f t="shared" ref="I317:L317" si="202">H320</f>
        <v>186597</v>
      </c>
      <c r="J317" s="15">
        <f t="shared" si="202"/>
        <v>186597</v>
      </c>
      <c r="K317" s="15">
        <f t="shared" si="202"/>
        <v>186597</v>
      </c>
      <c r="L317" s="15">
        <f t="shared" si="202"/>
        <v>186597</v>
      </c>
    </row>
    <row r="318" spans="2:12" x14ac:dyDescent="0.25">
      <c r="B318" t="s">
        <v>159</v>
      </c>
      <c r="C318" s="15">
        <f>C65</f>
        <v>17565</v>
      </c>
      <c r="D318">
        <f>D65</f>
        <v>30633</v>
      </c>
      <c r="E318">
        <f>E65</f>
        <v>38713</v>
      </c>
      <c r="F318">
        <f>F65</f>
        <v>16500</v>
      </c>
      <c r="G318" s="13">
        <f>G65</f>
        <v>92930</v>
      </c>
      <c r="H318" s="78">
        <f>-H319</f>
        <v>38675</v>
      </c>
      <c r="I318" s="78">
        <f t="shared" ref="I318:L318" si="203">-I319</f>
        <v>53418</v>
      </c>
      <c r="J318" s="78">
        <f t="shared" si="203"/>
        <v>32437</v>
      </c>
      <c r="K318" s="78">
        <f t="shared" si="203"/>
        <v>17934</v>
      </c>
      <c r="L318" s="78">
        <f t="shared" si="203"/>
        <v>3729</v>
      </c>
    </row>
    <row r="319" spans="2:12" x14ac:dyDescent="0.25">
      <c r="B319" t="s">
        <v>160</v>
      </c>
      <c r="C319" s="61">
        <f>C320-SUM(C317:C318)</f>
        <v>-20107</v>
      </c>
      <c r="D319" s="61">
        <f>D320-SUM(D317:D318)</f>
        <v>-22867</v>
      </c>
      <c r="E319" s="61">
        <f>E320-SUM(E317:E318)</f>
        <v>-36304</v>
      </c>
      <c r="F319" s="61">
        <f>F320-SUM(F317:F318)</f>
        <v>-25820</v>
      </c>
      <c r="G319" s="62">
        <f>G320-SUM(G317:G318)</f>
        <v>-36693</v>
      </c>
      <c r="H319" s="79">
        <f>-38675</f>
        <v>-38675</v>
      </c>
      <c r="I319" s="79">
        <v>-53418</v>
      </c>
      <c r="J319" s="79">
        <v>-32437</v>
      </c>
      <c r="K319" s="79">
        <v>-17934</v>
      </c>
      <c r="L319" s="79">
        <v>-3729</v>
      </c>
    </row>
    <row r="320" spans="2:12" x14ac:dyDescent="0.25">
      <c r="B320" t="s">
        <v>161</v>
      </c>
      <c r="C320">
        <f>C123</f>
        <v>129505</v>
      </c>
      <c r="D320">
        <f>D123</f>
        <v>137271</v>
      </c>
      <c r="E320">
        <f>E123</f>
        <v>139680</v>
      </c>
      <c r="F320">
        <f>F123</f>
        <v>130360</v>
      </c>
      <c r="G320" s="28">
        <f>G123</f>
        <v>186597</v>
      </c>
      <c r="H320">
        <f>SUM(H317:H319)</f>
        <v>186597</v>
      </c>
      <c r="I320">
        <f t="shared" ref="I320:L320" si="204">SUM(I317:I319)</f>
        <v>186597</v>
      </c>
      <c r="J320">
        <f t="shared" si="204"/>
        <v>186597</v>
      </c>
      <c r="K320">
        <f t="shared" si="204"/>
        <v>186597</v>
      </c>
      <c r="L320">
        <f t="shared" si="204"/>
        <v>186597</v>
      </c>
    </row>
    <row r="322" spans="2:12" x14ac:dyDescent="0.25">
      <c r="B322" t="s">
        <v>183</v>
      </c>
      <c r="C322" s="38"/>
      <c r="D322" s="38"/>
      <c r="E322" s="38"/>
      <c r="F322" s="38"/>
      <c r="G322" s="72"/>
      <c r="H322" s="15">
        <f ca="1">H315</f>
        <v>180848.37041930598</v>
      </c>
      <c r="I322" s="15">
        <f ca="1">I315</f>
        <v>207119.96200308099</v>
      </c>
      <c r="J322" s="15">
        <f ca="1">J315</f>
        <v>319230.62082793261</v>
      </c>
      <c r="K322" s="15">
        <f ca="1">K315</f>
        <v>421283.05323177669</v>
      </c>
      <c r="L322" s="15">
        <f ca="1">L315</f>
        <v>542786.68948396854</v>
      </c>
    </row>
    <row r="323" spans="2:12" x14ac:dyDescent="0.25">
      <c r="B323" t="s">
        <v>162</v>
      </c>
      <c r="C323" s="38"/>
      <c r="D323" s="38"/>
      <c r="E323" s="38"/>
      <c r="F323" s="38"/>
      <c r="G323" s="72"/>
      <c r="H323" s="15">
        <f>G122</f>
        <v>12286</v>
      </c>
      <c r="I323" s="15">
        <f ca="1">H325</f>
        <v>0</v>
      </c>
      <c r="J323" s="15">
        <f t="shared" ref="J323:L323" ca="1" si="205">I325</f>
        <v>0</v>
      </c>
      <c r="K323" s="15">
        <f t="shared" ca="1" si="205"/>
        <v>0</v>
      </c>
      <c r="L323" s="15">
        <f t="shared" ca="1" si="205"/>
        <v>0</v>
      </c>
    </row>
    <row r="324" spans="2:12" x14ac:dyDescent="0.25">
      <c r="B324" t="s">
        <v>163</v>
      </c>
      <c r="C324" s="38"/>
      <c r="D324" s="38"/>
      <c r="E324" s="38"/>
      <c r="F324" s="38"/>
      <c r="G324" s="38"/>
      <c r="H324" s="42">
        <f ca="1">-MIN(H322:H323)</f>
        <v>-12286</v>
      </c>
      <c r="I324" s="17">
        <f ca="1">-MIN(I322:I323)</f>
        <v>0</v>
      </c>
      <c r="J324" s="17">
        <f t="shared" ref="J324:L324" ca="1" si="206">-MIN(J322:J323)</f>
        <v>0</v>
      </c>
      <c r="K324" s="17">
        <f t="shared" ca="1" si="206"/>
        <v>0</v>
      </c>
      <c r="L324" s="17">
        <f t="shared" ca="1" si="206"/>
        <v>0</v>
      </c>
    </row>
    <row r="325" spans="2:12" x14ac:dyDescent="0.25">
      <c r="B325" t="s">
        <v>164</v>
      </c>
      <c r="C325" s="38"/>
      <c r="D325" s="38"/>
      <c r="E325" s="38"/>
      <c r="F325" s="38"/>
      <c r="G325" s="72"/>
      <c r="H325" s="15">
        <f ca="1">SUM(H323:H324)</f>
        <v>0</v>
      </c>
      <c r="I325" s="15">
        <f t="shared" ref="I325:L325" ca="1" si="207">SUM(I323:I324)</f>
        <v>0</v>
      </c>
      <c r="J325" s="15">
        <f t="shared" ca="1" si="207"/>
        <v>0</v>
      </c>
      <c r="K325" s="15">
        <f t="shared" ca="1" si="207"/>
        <v>0</v>
      </c>
      <c r="L325" s="15">
        <f t="shared" ca="1" si="207"/>
        <v>0</v>
      </c>
    </row>
    <row r="327" spans="2:12" x14ac:dyDescent="0.25">
      <c r="B327" t="s">
        <v>208</v>
      </c>
      <c r="C327" s="174">
        <f t="shared" ref="C327:L327" si="208">C76</f>
        <v>303771</v>
      </c>
      <c r="D327" s="174">
        <f t="shared" si="208"/>
        <v>215479</v>
      </c>
      <c r="E327" s="174">
        <f t="shared" si="208"/>
        <v>251373</v>
      </c>
      <c r="F327" s="174">
        <f t="shared" si="208"/>
        <v>252202</v>
      </c>
      <c r="G327" s="175">
        <f t="shared" si="208"/>
        <v>136311</v>
      </c>
      <c r="H327" s="15">
        <f t="shared" si="208"/>
        <v>285291</v>
      </c>
      <c r="I327" s="15">
        <f t="shared" ca="1" si="208"/>
        <v>351504.37041930598</v>
      </c>
      <c r="J327" s="15">
        <f t="shared" ca="1" si="208"/>
        <v>404804.96200308099</v>
      </c>
      <c r="K327" s="15">
        <f t="shared" ca="1" si="208"/>
        <v>495934.62082793261</v>
      </c>
      <c r="L327" s="15">
        <f t="shared" ca="1" si="208"/>
        <v>583484.05323177669</v>
      </c>
    </row>
    <row r="328" spans="2:12" x14ac:dyDescent="0.25">
      <c r="B328" t="s">
        <v>209</v>
      </c>
      <c r="C328" s="200">
        <f t="shared" ref="C328:L328" si="209">C78</f>
        <v>215479</v>
      </c>
      <c r="D328" s="200">
        <f t="shared" si="209"/>
        <v>251373</v>
      </c>
      <c r="E328" s="200">
        <f t="shared" si="209"/>
        <v>252202</v>
      </c>
      <c r="F328" s="200">
        <f t="shared" si="209"/>
        <v>136311</v>
      </c>
      <c r="G328" s="201">
        <f t="shared" si="209"/>
        <v>285291</v>
      </c>
      <c r="H328" s="17">
        <f t="shared" ca="1" si="209"/>
        <v>351504.37041930598</v>
      </c>
      <c r="I328" s="17">
        <f t="shared" ca="1" si="209"/>
        <v>404804.96200308099</v>
      </c>
      <c r="J328" s="17">
        <f t="shared" ca="1" si="209"/>
        <v>495934.62082793261</v>
      </c>
      <c r="K328" s="17">
        <f t="shared" ca="1" si="209"/>
        <v>583484.05323177669</v>
      </c>
      <c r="L328" s="17">
        <f t="shared" ca="1" si="209"/>
        <v>690782.68948396854</v>
      </c>
    </row>
    <row r="329" spans="2:12" x14ac:dyDescent="0.25">
      <c r="B329" t="s">
        <v>370</v>
      </c>
      <c r="C329">
        <f t="shared" ref="C329:F329" si="210">AVERAGE(C327:C328)</f>
        <v>259625</v>
      </c>
      <c r="D329">
        <f t="shared" si="210"/>
        <v>233426</v>
      </c>
      <c r="E329">
        <f t="shared" si="210"/>
        <v>251787.5</v>
      </c>
      <c r="F329">
        <f t="shared" si="210"/>
        <v>194256.5</v>
      </c>
      <c r="G329" s="28">
        <f>AVERAGE(G327:G328)</f>
        <v>210801</v>
      </c>
      <c r="H329" s="15">
        <f ca="1">AVERAGE(H327:H328)</f>
        <v>318397.68520965299</v>
      </c>
      <c r="I329" s="15">
        <f t="shared" ref="I329:L329" ca="1" si="211">AVERAGE(I327:I328)</f>
        <v>378154.66621119349</v>
      </c>
      <c r="J329" s="15">
        <f t="shared" ca="1" si="211"/>
        <v>450369.7914155068</v>
      </c>
      <c r="K329" s="15">
        <f t="shared" ca="1" si="211"/>
        <v>539709.33702985465</v>
      </c>
      <c r="L329" s="15">
        <f t="shared" ca="1" si="211"/>
        <v>637133.37135787262</v>
      </c>
    </row>
    <row r="331" spans="2:12" x14ac:dyDescent="0.25">
      <c r="B331" t="s">
        <v>185</v>
      </c>
      <c r="C331" s="34">
        <f>C336/C329</f>
        <v>7.6225324987963406E-3</v>
      </c>
      <c r="D331" s="34">
        <f t="shared" ref="D331:G331" si="212">D336/D329</f>
        <v>9.4291124382031143E-3</v>
      </c>
      <c r="E331" s="34">
        <f t="shared" si="212"/>
        <v>3.9203693590825595E-2</v>
      </c>
      <c r="F331" s="34">
        <f t="shared" si="212"/>
        <v>5.6878405613196986E-2</v>
      </c>
      <c r="G331" s="35">
        <f t="shared" si="212"/>
        <v>4.8097494793667962E-2</v>
      </c>
      <c r="H331" s="41">
        <f>AVERAGE(C331:G331)</f>
        <v>3.2246247786938E-2</v>
      </c>
      <c r="I331" s="20">
        <f>H331</f>
        <v>3.2246247786938E-2</v>
      </c>
      <c r="J331" s="20">
        <f t="shared" ref="J331:L332" si="213">I331</f>
        <v>3.2246247786938E-2</v>
      </c>
      <c r="K331" s="20">
        <f t="shared" si="213"/>
        <v>3.2246247786938E-2</v>
      </c>
      <c r="L331" s="20">
        <f t="shared" si="213"/>
        <v>3.2246247786938E-2</v>
      </c>
    </row>
    <row r="332" spans="2:12" x14ac:dyDescent="0.25">
      <c r="B332" t="s">
        <v>184</v>
      </c>
      <c r="C332" s="34">
        <f t="shared" ref="C332:F332" si="214">C335/-C320</f>
        <v>5.5673526118682676E-2</v>
      </c>
      <c r="D332" s="34">
        <f t="shared" si="214"/>
        <v>7.0014788265547717E-2</v>
      </c>
      <c r="E332" s="34">
        <f t="shared" si="214"/>
        <v>7.8894616265750284E-2</v>
      </c>
      <c r="F332" s="34">
        <f t="shared" si="214"/>
        <v>9.9409328014728446E-2</v>
      </c>
      <c r="G332" s="35">
        <f>G335/-G320</f>
        <v>6.1710531251842206E-2</v>
      </c>
      <c r="H332" s="41">
        <f>AVERAGE(C332:G332)</f>
        <v>7.3140557983310275E-2</v>
      </c>
      <c r="I332" s="20">
        <f>H332</f>
        <v>7.3140557983310275E-2</v>
      </c>
      <c r="J332" s="20">
        <f t="shared" si="213"/>
        <v>7.3140557983310275E-2</v>
      </c>
      <c r="K332" s="20">
        <f t="shared" si="213"/>
        <v>7.3140557983310275E-2</v>
      </c>
      <c r="L332" s="20">
        <f t="shared" si="213"/>
        <v>7.3140557983310275E-2</v>
      </c>
    </row>
    <row r="333" spans="2:12" x14ac:dyDescent="0.25">
      <c r="B333" t="s">
        <v>206</v>
      </c>
    </row>
    <row r="335" spans="2:12" x14ac:dyDescent="0.25">
      <c r="B335" t="s">
        <v>165</v>
      </c>
      <c r="C335" s="45">
        <f>'Income Statement'!C21</f>
        <v>-7210</v>
      </c>
      <c r="D335" s="45">
        <f>'Income Statement'!D21</f>
        <v>-9611</v>
      </c>
      <c r="E335" s="45">
        <f>'Income Statement'!E21</f>
        <v>-11020</v>
      </c>
      <c r="F335" s="45">
        <f>'Income Statement'!F21</f>
        <v>-12959</v>
      </c>
      <c r="G335" s="46">
        <f>'Income Statement'!G21</f>
        <v>-11515</v>
      </c>
      <c r="H335" s="15">
        <f>H332*-H320</f>
        <v>-13647.808698011748</v>
      </c>
      <c r="I335" s="15">
        <f t="shared" ref="I335:L335" si="215">I332*-I320</f>
        <v>-13647.808698011748</v>
      </c>
      <c r="J335" s="15">
        <f t="shared" si="215"/>
        <v>-13647.808698011748</v>
      </c>
      <c r="K335" s="15">
        <f t="shared" si="215"/>
        <v>-13647.808698011748</v>
      </c>
      <c r="L335" s="15">
        <f t="shared" si="215"/>
        <v>-13647.808698011748</v>
      </c>
    </row>
    <row r="336" spans="2:12" x14ac:dyDescent="0.25">
      <c r="B336" t="s">
        <v>166</v>
      </c>
      <c r="C336" s="49">
        <f>'Income Statement'!C22</f>
        <v>1979</v>
      </c>
      <c r="D336" s="49">
        <f>'Income Statement'!D22</f>
        <v>2201</v>
      </c>
      <c r="E336" s="49">
        <f>'Income Statement'!E22</f>
        <v>9871</v>
      </c>
      <c r="F336" s="49">
        <f>'Income Statement'!F22</f>
        <v>11049</v>
      </c>
      <c r="G336" s="50">
        <f>'Income Statement'!G22</f>
        <v>10139</v>
      </c>
      <c r="H336" s="17">
        <f ca="1">H329*H331</f>
        <v>10267.130652057955</v>
      </c>
      <c r="I336" s="17">
        <f t="shared" ref="I336:L336" ca="1" si="216">I329*I331</f>
        <v>12194.069068432977</v>
      </c>
      <c r="J336" s="17">
        <f t="shared" ca="1" si="216"/>
        <v>14522.735889736015</v>
      </c>
      <c r="K336" s="17">
        <f t="shared" ca="1" si="216"/>
        <v>17403.601014788725</v>
      </c>
      <c r="L336" s="17">
        <f t="shared" ca="1" si="216"/>
        <v>20545.160566133145</v>
      </c>
    </row>
    <row r="337" spans="1:20" x14ac:dyDescent="0.25">
      <c r="B337" s="29" t="s">
        <v>167</v>
      </c>
      <c r="C337" s="15">
        <f t="shared" ref="C337:H337" si="217">SUM(C335:C336)</f>
        <v>-5231</v>
      </c>
      <c r="D337" s="15">
        <f t="shared" si="217"/>
        <v>-7410</v>
      </c>
      <c r="E337" s="15">
        <f t="shared" si="217"/>
        <v>-1149</v>
      </c>
      <c r="F337" s="15">
        <f t="shared" si="217"/>
        <v>-1910</v>
      </c>
      <c r="G337" s="30">
        <f t="shared" si="217"/>
        <v>-1376</v>
      </c>
      <c r="H337" s="15">
        <f t="shared" ca="1" si="217"/>
        <v>-3380.6780459537931</v>
      </c>
      <c r="I337" s="15">
        <f t="shared" ref="I337:L337" ca="1" si="218">SUM(I335:I336)</f>
        <v>-1453.7396295787712</v>
      </c>
      <c r="J337" s="15">
        <f t="shared" ca="1" si="218"/>
        <v>874.92719172426769</v>
      </c>
      <c r="K337" s="15">
        <f t="shared" ca="1" si="218"/>
        <v>3755.7923167769768</v>
      </c>
      <c r="L337" s="15">
        <f t="shared" ca="1" si="218"/>
        <v>6897.3518681213973</v>
      </c>
    </row>
    <row r="339" spans="1:20" x14ac:dyDescent="0.25">
      <c r="B339" t="s">
        <v>399</v>
      </c>
      <c r="D339" s="68">
        <f>D329/C329-1%</f>
        <v>0.88908907077515642</v>
      </c>
      <c r="E339" s="68">
        <f t="shared" ref="E339:L339" si="219">E329/D329-1%</f>
        <v>1.0686609032412842</v>
      </c>
      <c r="F339" s="68">
        <f t="shared" si="219"/>
        <v>0.76150970560492481</v>
      </c>
      <c r="G339" s="256">
        <f t="shared" si="219"/>
        <v>1.0751683212659551</v>
      </c>
      <c r="H339" s="68">
        <f t="shared" ca="1" si="219"/>
        <v>1.5004182864865583</v>
      </c>
      <c r="I339" s="68">
        <f t="shared" ca="1" si="219"/>
        <v>1.1776803248811083</v>
      </c>
      <c r="J339" s="68">
        <f t="shared" ca="1" si="219"/>
        <v>1.1809671667623487</v>
      </c>
      <c r="K339" s="68">
        <f t="shared" ca="1" si="219"/>
        <v>1.1883693118793663</v>
      </c>
      <c r="L339" s="68">
        <f t="shared" ca="1" si="219"/>
        <v>1.1705120416559123</v>
      </c>
    </row>
    <row r="341" spans="1:20" x14ac:dyDescent="0.25">
      <c r="C341" s="136" t="s">
        <v>186</v>
      </c>
      <c r="D341" s="134"/>
      <c r="E341" s="134"/>
      <c r="F341" s="134"/>
      <c r="G341" s="135"/>
      <c r="H341" s="134"/>
      <c r="I341" s="134"/>
      <c r="J341" s="134"/>
      <c r="K341" s="134"/>
      <c r="L341" s="134"/>
    </row>
    <row r="342" spans="1:20" x14ac:dyDescent="0.25">
      <c r="B342" s="23"/>
      <c r="C342" s="23">
        <f>$C$7</f>
        <v>2021</v>
      </c>
      <c r="D342" s="23">
        <f>$D$7</f>
        <v>2022</v>
      </c>
      <c r="E342" s="23">
        <f>$E$7</f>
        <v>2023</v>
      </c>
      <c r="F342" s="23">
        <f>$F$7</f>
        <v>2024</v>
      </c>
      <c r="G342" s="27">
        <f>$G$7</f>
        <v>2025</v>
      </c>
      <c r="H342" s="24">
        <f>$H$7</f>
        <v>2026</v>
      </c>
      <c r="I342" s="24">
        <f>$I$7</f>
        <v>2027</v>
      </c>
      <c r="J342" s="24">
        <f>$J$7</f>
        <v>2028</v>
      </c>
      <c r="K342" s="24">
        <f>$K$7</f>
        <v>2029</v>
      </c>
      <c r="L342" s="24">
        <f>$L$7</f>
        <v>2030</v>
      </c>
      <c r="O342" s="15"/>
      <c r="P342" s="15"/>
      <c r="Q342" s="15"/>
      <c r="R342" s="15"/>
      <c r="S342" s="15"/>
      <c r="T342" s="15"/>
    </row>
    <row r="343" spans="1:20" x14ac:dyDescent="0.25">
      <c r="A343" s="37" t="s">
        <v>46</v>
      </c>
      <c r="C343" s="29"/>
      <c r="O343" s="15"/>
      <c r="P343" s="15"/>
      <c r="Q343" s="15"/>
      <c r="R343" s="15"/>
      <c r="S343" s="15"/>
      <c r="T343" s="15"/>
    </row>
    <row r="344" spans="1:20" x14ac:dyDescent="0.25">
      <c r="A344" t="s">
        <v>49</v>
      </c>
      <c r="B344" s="47">
        <v>13153</v>
      </c>
      <c r="C344" s="15">
        <f t="shared" ref="C344:G346" si="220">C106</f>
        <v>12359</v>
      </c>
      <c r="D344" s="15">
        <f t="shared" si="220"/>
        <v>13391</v>
      </c>
      <c r="E344" s="15">
        <f t="shared" si="220"/>
        <v>17904</v>
      </c>
      <c r="F344" s="15">
        <f t="shared" si="220"/>
        <v>18847</v>
      </c>
      <c r="G344" s="14">
        <f t="shared" si="220"/>
        <v>17400</v>
      </c>
      <c r="H344" s="15">
        <f>H8/365*H365</f>
        <v>21187.953743958129</v>
      </c>
      <c r="I344" s="15">
        <f>I8/365*I365</f>
        <v>23243.393367111548</v>
      </c>
      <c r="J344" s="15">
        <f>J8/365*J365</f>
        <v>24465.158168784044</v>
      </c>
      <c r="K344" s="15">
        <f>K8/365*K365</f>
        <v>26050.781715907502</v>
      </c>
      <c r="L344" s="15">
        <f>L8/365*L365</f>
        <v>27532.777595842344</v>
      </c>
      <c r="M344" s="15"/>
      <c r="O344" s="15"/>
      <c r="P344" s="15"/>
      <c r="Q344" s="15"/>
      <c r="R344" s="15"/>
      <c r="S344" s="15"/>
      <c r="T344" s="15"/>
    </row>
    <row r="345" spans="1:20" x14ac:dyDescent="0.25">
      <c r="A345" t="s">
        <v>50</v>
      </c>
      <c r="B345" s="47">
        <v>309509</v>
      </c>
      <c r="C345" s="15">
        <f t="shared" si="220"/>
        <v>389711</v>
      </c>
      <c r="D345" s="15">
        <f t="shared" si="220"/>
        <v>464411</v>
      </c>
      <c r="E345" s="15">
        <f t="shared" si="220"/>
        <v>471407</v>
      </c>
      <c r="F345" s="15">
        <f t="shared" si="220"/>
        <v>528678</v>
      </c>
      <c r="G345" s="14">
        <f t="shared" si="220"/>
        <v>560730</v>
      </c>
      <c r="H345" s="15">
        <f>H366/365*-H257</f>
        <v>624971.30963414838</v>
      </c>
      <c r="I345" s="15">
        <f>I366/365*-I257</f>
        <v>685267.00187861966</v>
      </c>
      <c r="J345" s="15">
        <f>J366/365*-J257</f>
        <v>720713.1411259321</v>
      </c>
      <c r="K345" s="15">
        <f>K366/365*-K257</f>
        <v>766843.82010916353</v>
      </c>
      <c r="L345" s="15">
        <f>L366/365*-L257</f>
        <v>809899.5320781417</v>
      </c>
      <c r="M345" s="15"/>
      <c r="O345" s="15"/>
      <c r="P345" s="15"/>
      <c r="Q345" s="15"/>
      <c r="R345" s="15"/>
      <c r="S345" s="15"/>
      <c r="T345" s="15"/>
    </row>
    <row r="346" spans="1:20" x14ac:dyDescent="0.25">
      <c r="A346" t="s">
        <v>51</v>
      </c>
      <c r="B346" s="48">
        <v>30165</v>
      </c>
      <c r="C346" s="17">
        <f t="shared" si="220"/>
        <v>39194</v>
      </c>
      <c r="D346" s="17">
        <f t="shared" si="220"/>
        <v>43894</v>
      </c>
      <c r="E346" s="17">
        <f t="shared" si="220"/>
        <v>53866</v>
      </c>
      <c r="F346" s="17">
        <f t="shared" si="220"/>
        <v>57910</v>
      </c>
      <c r="G346" s="16">
        <f t="shared" si="220"/>
        <v>71059</v>
      </c>
      <c r="H346" s="17">
        <f>H8*H367</f>
        <v>67899.513446679717</v>
      </c>
      <c r="I346" s="17">
        <f>I8*I367</f>
        <v>74486.433166142524</v>
      </c>
      <c r="J346" s="17">
        <f>J8*J367</f>
        <v>78401.73506751172</v>
      </c>
      <c r="K346" s="17">
        <f>K8*K367</f>
        <v>83483.068954696661</v>
      </c>
      <c r="L346" s="17">
        <f>L8*L367</f>
        <v>88232.314700348434</v>
      </c>
      <c r="M346" s="15"/>
      <c r="O346" s="15"/>
      <c r="P346" s="15"/>
      <c r="Q346" s="15"/>
      <c r="R346" s="15"/>
      <c r="S346" s="15"/>
      <c r="T346" s="15"/>
    </row>
    <row r="347" spans="1:20" x14ac:dyDescent="0.25">
      <c r="A347" t="s">
        <v>187</v>
      </c>
      <c r="B347" s="15">
        <v>352827</v>
      </c>
      <c r="C347" s="15">
        <f t="shared" ref="C347:G347" si="221">SUM(C344:C346)</f>
        <v>441264</v>
      </c>
      <c r="D347" s="15">
        <f t="shared" si="221"/>
        <v>521696</v>
      </c>
      <c r="E347" s="15">
        <f t="shared" si="221"/>
        <v>543177</v>
      </c>
      <c r="F347" s="15">
        <f t="shared" si="221"/>
        <v>605435</v>
      </c>
      <c r="G347" s="30">
        <f t="shared" si="221"/>
        <v>649189</v>
      </c>
      <c r="H347" s="15">
        <f>SUM(H344:H346)</f>
        <v>714058.77682478621</v>
      </c>
      <c r="I347" s="15">
        <f>SUM(I344:I346)</f>
        <v>782996.82841187378</v>
      </c>
      <c r="J347" s="15">
        <f>SUM(J344:J346)</f>
        <v>823580.03436222777</v>
      </c>
      <c r="K347" s="15">
        <f>SUM(K344:K346)</f>
        <v>876377.67077976768</v>
      </c>
      <c r="L347" s="15">
        <f>SUM(L344:L346)</f>
        <v>925664.62437433249</v>
      </c>
    </row>
    <row r="348" spans="1:20" x14ac:dyDescent="0.25">
      <c r="C348" s="15"/>
      <c r="D348" s="15"/>
      <c r="E348" s="15"/>
      <c r="F348" s="15"/>
      <c r="G348" s="14"/>
    </row>
    <row r="349" spans="1:20" x14ac:dyDescent="0.25">
      <c r="A349" s="37" t="s">
        <v>69</v>
      </c>
      <c r="C349" s="15"/>
      <c r="D349" s="15"/>
      <c r="E349" s="15"/>
      <c r="F349" s="15"/>
      <c r="G349" s="14"/>
    </row>
    <row r="350" spans="1:20" x14ac:dyDescent="0.25">
      <c r="A350" t="s">
        <v>70</v>
      </c>
      <c r="B350" s="45">
        <v>373172</v>
      </c>
      <c r="C350" s="15">
        <f t="shared" ref="C350:G351" si="222">C119</f>
        <v>388791</v>
      </c>
      <c r="D350" s="15">
        <f t="shared" si="222"/>
        <v>408407</v>
      </c>
      <c r="E350" s="15">
        <f t="shared" si="222"/>
        <v>453229</v>
      </c>
      <c r="F350" s="15">
        <f t="shared" si="222"/>
        <v>485961</v>
      </c>
      <c r="G350" s="14">
        <f t="shared" si="222"/>
        <v>506949</v>
      </c>
      <c r="H350" s="15">
        <f>-H9/365*H369</f>
        <v>580621.02821924107</v>
      </c>
      <c r="I350" s="15">
        <f>-I9/365*I369</f>
        <v>636602.9715643446</v>
      </c>
      <c r="J350" s="15">
        <f>-J9/365*J369</f>
        <v>669722.87589538214</v>
      </c>
      <c r="K350" s="15">
        <f>-K9/365*K369</f>
        <v>712729.34295974299</v>
      </c>
      <c r="L350" s="15">
        <f>-L9/365*L369</f>
        <v>752946.36073319032</v>
      </c>
    </row>
    <row r="351" spans="1:20" x14ac:dyDescent="0.25">
      <c r="A351" t="s">
        <v>72</v>
      </c>
      <c r="B351" s="45">
        <v>32946</v>
      </c>
      <c r="C351" s="15">
        <f t="shared" si="222"/>
        <v>41896</v>
      </c>
      <c r="D351" s="15">
        <f t="shared" si="222"/>
        <v>44097</v>
      </c>
      <c r="E351" s="15">
        <f t="shared" si="222"/>
        <v>45441</v>
      </c>
      <c r="F351" s="15">
        <f t="shared" si="222"/>
        <v>48263</v>
      </c>
      <c r="G351" s="14">
        <f t="shared" si="222"/>
        <v>52478</v>
      </c>
      <c r="H351" s="15">
        <f>-H370*H273</f>
        <v>60133.792723336097</v>
      </c>
      <c r="I351" s="15">
        <f>-I370*I273</f>
        <v>66738.272421795918</v>
      </c>
      <c r="J351" s="15">
        <f>-J370*J273</f>
        <v>70466.420515575912</v>
      </c>
      <c r="K351" s="15">
        <f>-K370*K273</f>
        <v>75529.045971139174</v>
      </c>
      <c r="L351" s="15">
        <f>-L370*L273</f>
        <v>79691.626802215396</v>
      </c>
    </row>
    <row r="352" spans="1:20" x14ac:dyDescent="0.25">
      <c r="A352" t="s">
        <v>79</v>
      </c>
      <c r="B352" s="45">
        <v>23525</v>
      </c>
      <c r="C352" s="15">
        <f>C126</f>
        <v>26898</v>
      </c>
      <c r="D352" s="15">
        <f>D126</f>
        <v>29228</v>
      </c>
      <c r="E352" s="15">
        <f>E126</f>
        <v>32613</v>
      </c>
      <c r="F352" s="15">
        <f>F126</f>
        <v>38079</v>
      </c>
      <c r="G352" s="14">
        <f>G126</f>
        <v>43061</v>
      </c>
      <c r="H352" s="15">
        <f>H371*H207</f>
        <v>47274.897015493749</v>
      </c>
      <c r="I352" s="15">
        <f>I371*I207</f>
        <v>53730.598302243132</v>
      </c>
      <c r="J352" s="15">
        <f>J371*J207</f>
        <v>58098.329913316084</v>
      </c>
      <c r="K352" s="15">
        <f>K371*K207</f>
        <v>63772.017597319194</v>
      </c>
      <c r="L352" s="15">
        <f>L371*L207</f>
        <v>68907.036375146432</v>
      </c>
    </row>
    <row r="353" spans="1:14" x14ac:dyDescent="0.25">
      <c r="A353" t="s">
        <v>73</v>
      </c>
      <c r="B353" s="49">
        <v>37731</v>
      </c>
      <c r="C353" s="17">
        <f>C121</f>
        <v>39736</v>
      </c>
      <c r="D353" s="17">
        <f>D121</f>
        <v>38667</v>
      </c>
      <c r="E353" s="17">
        <f>E121</f>
        <v>57273</v>
      </c>
      <c r="F353" s="17">
        <f>F121</f>
        <v>50035</v>
      </c>
      <c r="G353" s="16">
        <f>G121</f>
        <v>57627</v>
      </c>
      <c r="H353" s="17">
        <f>H372*H206</f>
        <v>62852.344020118806</v>
      </c>
      <c r="I353" s="17">
        <f>I372*I206</f>
        <v>68916.183325156962</v>
      </c>
      <c r="J353" s="17">
        <f>J372*J206</f>
        <v>72480.943665053666</v>
      </c>
      <c r="K353" s="17">
        <f>K372*K206</f>
        <v>77120.230718139384</v>
      </c>
      <c r="L353" s="17">
        <f>L372*L206</f>
        <v>81450.273360080057</v>
      </c>
    </row>
    <row r="354" spans="1:14" x14ac:dyDescent="0.25">
      <c r="A354" t="s">
        <v>188</v>
      </c>
      <c r="B354" s="15">
        <v>467374</v>
      </c>
      <c r="C354" s="15">
        <f t="shared" ref="C354:L354" si="223">SUM(C350:C353)</f>
        <v>497321</v>
      </c>
      <c r="D354" s="15">
        <f t="shared" si="223"/>
        <v>520399</v>
      </c>
      <c r="E354" s="15">
        <f t="shared" si="223"/>
        <v>588556</v>
      </c>
      <c r="F354" s="15">
        <f t="shared" si="223"/>
        <v>622338</v>
      </c>
      <c r="G354" s="30">
        <f t="shared" si="223"/>
        <v>660115</v>
      </c>
      <c r="H354" s="15">
        <f>SUM(H350:H353)</f>
        <v>750882.06197818974</v>
      </c>
      <c r="I354" s="15">
        <f t="shared" si="223"/>
        <v>825988.02561354055</v>
      </c>
      <c r="J354" s="15">
        <f t="shared" si="223"/>
        <v>870768.56998932781</v>
      </c>
      <c r="K354" s="15">
        <f t="shared" si="223"/>
        <v>929150.63724634075</v>
      </c>
      <c r="L354" s="15">
        <f t="shared" si="223"/>
        <v>982995.29727063223</v>
      </c>
    </row>
    <row r="355" spans="1:14" x14ac:dyDescent="0.25">
      <c r="B355" s="15"/>
      <c r="C355" s="15"/>
      <c r="D355" s="15"/>
      <c r="E355" s="15"/>
      <c r="F355" s="15"/>
      <c r="G355" s="14"/>
      <c r="H355" s="15"/>
      <c r="I355" s="15"/>
      <c r="J355" s="15"/>
      <c r="K355" s="15"/>
      <c r="L355" s="15"/>
    </row>
    <row r="356" spans="1:14" x14ac:dyDescent="0.25">
      <c r="A356" t="s">
        <v>173</v>
      </c>
      <c r="B356" s="15">
        <v>-114547</v>
      </c>
      <c r="C356" s="15">
        <f>C347-C354</f>
        <v>-56057</v>
      </c>
      <c r="D356" s="15">
        <f t="shared" ref="D356:L356" si="224">D347-D354</f>
        <v>1297</v>
      </c>
      <c r="E356" s="15">
        <f t="shared" si="224"/>
        <v>-45379</v>
      </c>
      <c r="F356" s="15">
        <f t="shared" si="224"/>
        <v>-16903</v>
      </c>
      <c r="G356" s="14">
        <f t="shared" si="224"/>
        <v>-10926</v>
      </c>
      <c r="H356" s="15">
        <f t="shared" si="224"/>
        <v>-36823.285153403529</v>
      </c>
      <c r="I356" s="15">
        <f t="shared" si="224"/>
        <v>-42991.197201666771</v>
      </c>
      <c r="J356" s="15">
        <f t="shared" si="224"/>
        <v>-47188.535627100035</v>
      </c>
      <c r="K356" s="15">
        <f t="shared" si="224"/>
        <v>-52772.966466573067</v>
      </c>
      <c r="L356" s="15">
        <f t="shared" si="224"/>
        <v>-57330.672896299744</v>
      </c>
      <c r="N356" s="15"/>
    </row>
    <row r="357" spans="1:14" x14ac:dyDescent="0.25">
      <c r="A357" t="s">
        <v>191</v>
      </c>
      <c r="B357" s="15"/>
      <c r="C357" s="15">
        <f>C356-B356</f>
        <v>58490</v>
      </c>
      <c r="D357" s="15">
        <f>D356-C356</f>
        <v>57354</v>
      </c>
      <c r="E357" s="15">
        <f>E356-D356</f>
        <v>-46676</v>
      </c>
      <c r="F357" s="15">
        <f>F356-E356</f>
        <v>28476</v>
      </c>
      <c r="G357" s="14">
        <f>G356-F356</f>
        <v>5977</v>
      </c>
      <c r="H357" s="15"/>
      <c r="I357" s="15"/>
      <c r="J357" s="15"/>
      <c r="K357" s="15"/>
      <c r="L357" s="15"/>
    </row>
    <row r="359" spans="1:14" x14ac:dyDescent="0.25">
      <c r="A359" t="s">
        <v>192</v>
      </c>
      <c r="B359" s="38"/>
      <c r="C359" s="15">
        <f>C357-C93</f>
        <v>6911</v>
      </c>
      <c r="D359" s="15">
        <f>D357-D93</f>
        <v>-8079</v>
      </c>
      <c r="E359" s="15">
        <f>E357-E93</f>
        <v>4161</v>
      </c>
      <c r="F359" s="15">
        <f>F357-F93</f>
        <v>-182</v>
      </c>
      <c r="G359" s="14">
        <f>G357-G93</f>
        <v>14413</v>
      </c>
      <c r="H359" s="43">
        <v>0</v>
      </c>
      <c r="I359" s="31">
        <f>H359</f>
        <v>0</v>
      </c>
      <c r="J359" s="31">
        <f t="shared" ref="J359:L359" si="225">I359</f>
        <v>0</v>
      </c>
      <c r="K359" s="31">
        <f t="shared" si="225"/>
        <v>0</v>
      </c>
      <c r="L359" s="31">
        <f t="shared" si="225"/>
        <v>0</v>
      </c>
    </row>
    <row r="360" spans="1:14" x14ac:dyDescent="0.25">
      <c r="B360" s="38"/>
      <c r="C360" s="17"/>
      <c r="D360" s="17"/>
      <c r="E360" s="25"/>
      <c r="F360" s="25"/>
      <c r="G360" s="26"/>
      <c r="H360" s="17"/>
      <c r="I360" s="17"/>
      <c r="J360" s="17"/>
      <c r="K360" s="17"/>
      <c r="L360" s="17"/>
    </row>
    <row r="361" spans="1:14" x14ac:dyDescent="0.25">
      <c r="A361" t="s">
        <v>190</v>
      </c>
      <c r="B361" s="38"/>
      <c r="C361" s="15">
        <f t="shared" ref="C361:F361" si="226">-(C357-C359)</f>
        <v>-51579</v>
      </c>
      <c r="D361" s="15">
        <f t="shared" si="226"/>
        <v>-65433</v>
      </c>
      <c r="E361" s="15">
        <f t="shared" si="226"/>
        <v>50837</v>
      </c>
      <c r="F361" s="15">
        <f t="shared" si="226"/>
        <v>-28658</v>
      </c>
      <c r="G361" s="30">
        <f>-(G357-G359)</f>
        <v>8436</v>
      </c>
      <c r="H361" s="15">
        <f>H356-G356</f>
        <v>-25897.285153403529</v>
      </c>
      <c r="I361" s="15">
        <f t="shared" ref="I361:L361" si="227">I356-H356</f>
        <v>-6167.9120482632425</v>
      </c>
      <c r="J361" s="15">
        <f t="shared" si="227"/>
        <v>-4197.3384254332632</v>
      </c>
      <c r="K361" s="15">
        <f t="shared" si="227"/>
        <v>-5584.4308394730324</v>
      </c>
      <c r="L361" s="15">
        <f t="shared" si="227"/>
        <v>-4557.706429726677</v>
      </c>
    </row>
    <row r="362" spans="1:14" x14ac:dyDescent="0.25">
      <c r="A362" t="s">
        <v>340</v>
      </c>
      <c r="B362" s="38"/>
      <c r="C362" s="206">
        <f>C347/C354</f>
        <v>0.88728205726281417</v>
      </c>
      <c r="D362" s="206">
        <f t="shared" ref="D362:L362" si="228">D347/D354</f>
        <v>1.0024923183941552</v>
      </c>
      <c r="E362" s="206">
        <f t="shared" si="228"/>
        <v>0.92289773615424875</v>
      </c>
      <c r="F362" s="206">
        <f t="shared" si="228"/>
        <v>0.97283951807538671</v>
      </c>
      <c r="G362" s="207">
        <f t="shared" si="228"/>
        <v>0.98344833854707137</v>
      </c>
      <c r="H362" s="206">
        <f t="shared" si="228"/>
        <v>0.95095996159983764</v>
      </c>
      <c r="I362" s="206">
        <f t="shared" si="228"/>
        <v>0.94795179122635209</v>
      </c>
      <c r="J362" s="206">
        <f t="shared" si="228"/>
        <v>0.94580817767954306</v>
      </c>
      <c r="K362" s="206">
        <f t="shared" si="228"/>
        <v>0.94320300245074074</v>
      </c>
      <c r="L362" s="206">
        <f t="shared" si="228"/>
        <v>0.94167757154537457</v>
      </c>
    </row>
    <row r="364" spans="1:14" x14ac:dyDescent="0.25">
      <c r="A364" s="37" t="s">
        <v>144</v>
      </c>
      <c r="B364" s="38"/>
    </row>
    <row r="365" spans="1:14" x14ac:dyDescent="0.25">
      <c r="A365" t="s">
        <v>174</v>
      </c>
      <c r="B365" s="38"/>
      <c r="C365" s="54">
        <f>C344/C206*365</f>
        <v>1.3017199537605881</v>
      </c>
      <c r="D365" s="54">
        <f>D344/D206*365</f>
        <v>1.2390219875852289</v>
      </c>
      <c r="E365" s="54">
        <f>E344/E206*365</f>
        <v>1.5195086574157823</v>
      </c>
      <c r="F365" s="54">
        <f>F344/F206*365</f>
        <v>1.438215315153146</v>
      </c>
      <c r="G365" s="55">
        <f>G344/G206*365</f>
        <v>1.2329357498951685</v>
      </c>
      <c r="H365" s="56">
        <f>AVERAGE(C365:G365)</f>
        <v>1.3462803327619828</v>
      </c>
      <c r="I365" s="54">
        <f>H365</f>
        <v>1.3462803327619828</v>
      </c>
      <c r="J365" s="54">
        <f t="shared" ref="J365:L365" si="229">I365</f>
        <v>1.3462803327619828</v>
      </c>
      <c r="K365" s="54">
        <f t="shared" si="229"/>
        <v>1.3462803327619828</v>
      </c>
      <c r="L365" s="54">
        <f t="shared" si="229"/>
        <v>1.3462803327619828</v>
      </c>
    </row>
    <row r="366" spans="1:14" x14ac:dyDescent="0.25">
      <c r="A366" t="s">
        <v>311</v>
      </c>
      <c r="B366" s="38"/>
      <c r="C366" s="54">
        <f>-C345/C257*365</f>
        <v>48.839502913144052</v>
      </c>
      <c r="D366" s="54">
        <f>-D345/D257*365</f>
        <v>50.75055942075327</v>
      </c>
      <c r="E366" s="54">
        <f>-E345/E257*365</f>
        <v>47.500480350622823</v>
      </c>
      <c r="F366" s="54">
        <f>-F345/F257*365</f>
        <v>47.888807268413622</v>
      </c>
      <c r="G366" s="55">
        <f>-G345/G257*365</f>
        <v>47.143416875549079</v>
      </c>
      <c r="H366" s="56">
        <f t="shared" ref="H366:H367" si="230">AVERAGE(C366:G366)</f>
        <v>48.424553365696568</v>
      </c>
      <c r="I366" s="54">
        <f t="shared" ref="I366:L366" si="231">H366</f>
        <v>48.424553365696568</v>
      </c>
      <c r="J366" s="54">
        <f t="shared" si="231"/>
        <v>48.424553365696568</v>
      </c>
      <c r="K366" s="54">
        <f t="shared" si="231"/>
        <v>48.424553365696568</v>
      </c>
      <c r="L366" s="54">
        <f t="shared" si="231"/>
        <v>48.424553365696568</v>
      </c>
    </row>
    <row r="367" spans="1:14" x14ac:dyDescent="0.25">
      <c r="A367" t="s">
        <v>175</v>
      </c>
      <c r="B367" s="38"/>
      <c r="C367" s="51">
        <f>C346/C8</f>
        <v>1.0827457663546574E-2</v>
      </c>
      <c r="D367" s="51">
        <f>D346/D8</f>
        <v>1.0795129378496754E-2</v>
      </c>
      <c r="E367" s="51">
        <f>E346/E8</f>
        <v>1.2209412757755151E-2</v>
      </c>
      <c r="F367" s="51">
        <f>F346/F8</f>
        <v>1.1784941404970148E-2</v>
      </c>
      <c r="G367" s="52">
        <f>G346/G8</f>
        <v>1.34834407128222E-2</v>
      </c>
      <c r="H367" s="57">
        <f t="shared" si="230"/>
        <v>1.1820076383518166E-2</v>
      </c>
      <c r="I367" s="51">
        <f t="shared" ref="I367:L367" si="232">H367</f>
        <v>1.1820076383518166E-2</v>
      </c>
      <c r="J367" s="51">
        <f t="shared" si="232"/>
        <v>1.1820076383518166E-2</v>
      </c>
      <c r="K367" s="51">
        <f t="shared" si="232"/>
        <v>1.1820076383518166E-2</v>
      </c>
      <c r="L367" s="51">
        <f t="shared" si="232"/>
        <v>1.1820076383518166E-2</v>
      </c>
    </row>
    <row r="369" spans="1:12" x14ac:dyDescent="0.25">
      <c r="A369" t="s">
        <v>176</v>
      </c>
      <c r="C369" s="54">
        <f>-C350/C9*365</f>
        <v>47.69498961126434</v>
      </c>
      <c r="D369" s="54">
        <f>-D350/D9*365</f>
        <v>44.038693390882273</v>
      </c>
      <c r="E369" s="54">
        <f>-E350/E9*365</f>
        <v>45.291741763406051</v>
      </c>
      <c r="F369" s="54">
        <f>-F350/F9*365</f>
        <v>43.613695342040543</v>
      </c>
      <c r="G369" s="55">
        <f>-G350/G9*365</f>
        <v>42.48122010541536</v>
      </c>
      <c r="H369" s="58">
        <f>AVERAGE(C369:G369)</f>
        <v>44.624068042601714</v>
      </c>
      <c r="I369" s="54">
        <f>H369</f>
        <v>44.624068042601714</v>
      </c>
      <c r="J369" s="54">
        <f t="shared" ref="J369:L369" si="233">I369</f>
        <v>44.624068042601714</v>
      </c>
      <c r="K369" s="54">
        <f t="shared" si="233"/>
        <v>44.624068042601714</v>
      </c>
      <c r="L369" s="54">
        <f t="shared" si="233"/>
        <v>44.624068042601714</v>
      </c>
    </row>
    <row r="370" spans="1:12" x14ac:dyDescent="0.25">
      <c r="A370" t="s">
        <v>382</v>
      </c>
      <c r="B370" s="38"/>
      <c r="C370" s="51">
        <f>-C351/C273</f>
        <v>0.11663015246881446</v>
      </c>
      <c r="D370" s="51">
        <f>-D351/D273</f>
        <v>0.11660906333545765</v>
      </c>
      <c r="E370" s="51">
        <f>-E351/E273</f>
        <v>0.10890018980425238</v>
      </c>
      <c r="F370" s="51">
        <f>-F351/F273</f>
        <v>0.10346720062085037</v>
      </c>
      <c r="G370" s="52">
        <f>-G351/G273</f>
        <v>0.10529103607679637</v>
      </c>
      <c r="H370" s="57">
        <f>AVERAGE(C370:G370)</f>
        <v>0.11017952846123424</v>
      </c>
      <c r="I370" s="51">
        <f t="shared" ref="I370:L370" si="234">H370</f>
        <v>0.11017952846123424</v>
      </c>
      <c r="J370" s="51">
        <f t="shared" si="234"/>
        <v>0.11017952846123424</v>
      </c>
      <c r="K370" s="51">
        <f t="shared" si="234"/>
        <v>0.11017952846123424</v>
      </c>
      <c r="L370" s="51">
        <f t="shared" si="234"/>
        <v>0.11017952846123424</v>
      </c>
    </row>
    <row r="371" spans="1:12" x14ac:dyDescent="0.25">
      <c r="A371" t="s">
        <v>383</v>
      </c>
      <c r="B371" s="38"/>
      <c r="C371" s="51">
        <f>C352/C207</f>
        <v>0.4800642512939497</v>
      </c>
      <c r="D371" s="51">
        <f>D352/D207</f>
        <v>0.48003678946244682</v>
      </c>
      <c r="E371" s="51">
        <f>E352/E207</f>
        <v>0.49377725290697677</v>
      </c>
      <c r="F371" s="51">
        <f>F352/F207</f>
        <v>0.5061004784688995</v>
      </c>
      <c r="G371" s="52">
        <f>G352/G207</f>
        <v>0.50320778750306761</v>
      </c>
      <c r="H371" s="57">
        <f>AVERAGE(C371:G371)</f>
        <v>0.49263731192706806</v>
      </c>
      <c r="I371" s="51">
        <f t="shared" ref="I371:L371" si="235">H371</f>
        <v>0.49263731192706806</v>
      </c>
      <c r="J371" s="51">
        <f t="shared" si="235"/>
        <v>0.49263731192706806</v>
      </c>
      <c r="K371" s="51">
        <f t="shared" si="235"/>
        <v>0.49263731192706806</v>
      </c>
      <c r="L371" s="51">
        <f t="shared" si="235"/>
        <v>0.49263731192706806</v>
      </c>
    </row>
    <row r="372" spans="1:12" x14ac:dyDescent="0.25">
      <c r="A372" t="s">
        <v>384</v>
      </c>
      <c r="B372" s="38"/>
      <c r="C372" s="51">
        <f>C353/C206</f>
        <v>1.146635840392077E-2</v>
      </c>
      <c r="D372" s="51">
        <f>D353/D206</f>
        <v>9.8019756049520165E-3</v>
      </c>
      <c r="E372" s="51">
        <f>E353/E206</f>
        <v>1.3317115840980527E-2</v>
      </c>
      <c r="F372" s="51">
        <f>F353/F206</f>
        <v>1.0460747474608095E-2</v>
      </c>
      <c r="G372" s="52">
        <f>G353/G206</f>
        <v>1.1187275776918418E-2</v>
      </c>
      <c r="H372" s="57">
        <f>AVERAGE(C372:G372)</f>
        <v>1.1246694620275966E-2</v>
      </c>
      <c r="I372" s="51">
        <f t="shared" ref="I372:L372" si="236">H372</f>
        <v>1.1246694620275966E-2</v>
      </c>
      <c r="J372" s="51">
        <f t="shared" si="236"/>
        <v>1.1246694620275966E-2</v>
      </c>
      <c r="K372" s="51">
        <f t="shared" si="236"/>
        <v>1.1246694620275966E-2</v>
      </c>
      <c r="L372" s="51">
        <f t="shared" si="236"/>
        <v>1.1246694620275966E-2</v>
      </c>
    </row>
    <row r="374" spans="1:12" x14ac:dyDescent="0.25">
      <c r="C374" s="136" t="s">
        <v>177</v>
      </c>
      <c r="D374" s="134"/>
      <c r="E374" s="134"/>
      <c r="F374" s="134"/>
      <c r="G374" s="135"/>
      <c r="H374" s="134"/>
      <c r="I374" s="134"/>
      <c r="J374" s="134"/>
      <c r="K374" s="134"/>
      <c r="L374" s="134"/>
    </row>
    <row r="375" spans="1:12" x14ac:dyDescent="0.25">
      <c r="C375" s="23">
        <f>$C$7</f>
        <v>2021</v>
      </c>
      <c r="D375" s="23">
        <f>$D$7</f>
        <v>2022</v>
      </c>
      <c r="E375" s="23">
        <f>$E$7</f>
        <v>2023</v>
      </c>
      <c r="F375" s="23">
        <f>$F$7</f>
        <v>2024</v>
      </c>
      <c r="G375" s="27">
        <f>$G$7</f>
        <v>2025</v>
      </c>
      <c r="H375" s="24">
        <f>$H$7</f>
        <v>2026</v>
      </c>
      <c r="I375" s="24">
        <f>$I$7</f>
        <v>2027</v>
      </c>
      <c r="J375" s="24">
        <f>$J$7</f>
        <v>2028</v>
      </c>
      <c r="K375" s="24">
        <f>$K$7</f>
        <v>2029</v>
      </c>
      <c r="L375" s="24">
        <f>$L$7</f>
        <v>2030</v>
      </c>
    </row>
    <row r="376" spans="1:12" x14ac:dyDescent="0.25">
      <c r="B376" t="s">
        <v>178</v>
      </c>
      <c r="C376" s="45">
        <f>'Balance Sheet'!B18</f>
        <v>692279</v>
      </c>
      <c r="D376" s="45">
        <f>C380</f>
        <v>730204</v>
      </c>
      <c r="E376" s="45">
        <f>D380</f>
        <v>757241</v>
      </c>
      <c r="F376" s="45">
        <f>E380</f>
        <v>850328</v>
      </c>
      <c r="G376" s="46">
        <f>F380</f>
        <v>936108</v>
      </c>
      <c r="H376" s="15">
        <f>G380</f>
        <v>996281</v>
      </c>
      <c r="I376" s="15">
        <f t="shared" ref="I376:L376" si="237">H380</f>
        <v>1061629.6429029717</v>
      </c>
      <c r="J376" s="15">
        <f t="shared" si="237"/>
        <v>1140084.9618147707</v>
      </c>
      <c r="K376" s="15">
        <f t="shared" si="237"/>
        <v>1186357.8175556988</v>
      </c>
      <c r="L376" s="15">
        <f t="shared" si="237"/>
        <v>1244612.3265747419</v>
      </c>
    </row>
    <row r="377" spans="1:12" x14ac:dyDescent="0.25">
      <c r="B377" t="s">
        <v>305</v>
      </c>
      <c r="C377" s="15">
        <f t="shared" ref="C377:E377" si="238">C380-SUM(C378:C379)-C376</f>
        <v>103293</v>
      </c>
      <c r="D377" s="15">
        <f t="shared" si="238"/>
        <v>95098</v>
      </c>
      <c r="E377" s="15">
        <f t="shared" si="238"/>
        <v>166146</v>
      </c>
      <c r="F377" s="15">
        <f>F380-SUM(F378:F379)-F376</f>
        <v>170051</v>
      </c>
      <c r="G377" s="14">
        <f t="shared" ref="G377" si="239">G380-SUM(G378:G379)-G376</f>
        <v>150737</v>
      </c>
      <c r="H377" s="15">
        <f>H385</f>
        <v>154740.76785714284</v>
      </c>
      <c r="I377" s="15">
        <f t="shared" ref="I377:L377" si="240">I385</f>
        <v>185412.45833333331</v>
      </c>
      <c r="J377" s="15">
        <f t="shared" si="240"/>
        <v>110747.04761904762</v>
      </c>
      <c r="K377" s="15">
        <f t="shared" si="240"/>
        <v>138749.55952380953</v>
      </c>
      <c r="L377" s="15">
        <f t="shared" si="240"/>
        <v>114750.81547619047</v>
      </c>
    </row>
    <row r="378" spans="1:12" x14ac:dyDescent="0.25">
      <c r="B378" t="s">
        <v>181</v>
      </c>
      <c r="C378" s="15">
        <f>-'Cash Flow'!C23</f>
        <v>-385</v>
      </c>
      <c r="D378" s="15">
        <f>-'Cash Flow'!D23</f>
        <v>-193</v>
      </c>
      <c r="E378" s="15">
        <f>-'Cash Flow'!E23</f>
        <v>-361</v>
      </c>
      <c r="F378" s="15">
        <f>-'Cash Flow'!F23</f>
        <v>-1660</v>
      </c>
      <c r="G378" s="14">
        <f>-'Cash Flow'!G23</f>
        <v>-2403</v>
      </c>
      <c r="H378" s="81">
        <f>-H391</f>
        <v>-1158.9485566256508</v>
      </c>
      <c r="I378" s="81">
        <f t="shared" ref="I378:L378" si="241">-I391</f>
        <v>-1234.966984528867</v>
      </c>
      <c r="J378" s="81">
        <f t="shared" si="241"/>
        <v>-1326.2320780240102</v>
      </c>
      <c r="K378" s="81">
        <f t="shared" si="241"/>
        <v>-1380.060123898513</v>
      </c>
      <c r="L378" s="81">
        <f t="shared" si="241"/>
        <v>-1447.826124800423</v>
      </c>
    </row>
    <row r="379" spans="1:12" x14ac:dyDescent="0.25">
      <c r="B379" t="s">
        <v>179</v>
      </c>
      <c r="C379" s="17">
        <f>C13</f>
        <v>-64983</v>
      </c>
      <c r="D379" s="17">
        <f>D13</f>
        <v>-67868</v>
      </c>
      <c r="E379" s="17">
        <f>E13</f>
        <v>-72698</v>
      </c>
      <c r="F379" s="17">
        <f>F13</f>
        <v>-82611</v>
      </c>
      <c r="G379" s="16">
        <f>G13</f>
        <v>-88161</v>
      </c>
      <c r="H379" s="17">
        <f>-H385*H388</f>
        <v>-88233.176397545161</v>
      </c>
      <c r="I379" s="17">
        <f t="shared" ref="I379:L379" si="242">-I385*I388</f>
        <v>-105722.17243700549</v>
      </c>
      <c r="J379" s="17">
        <f t="shared" si="242"/>
        <v>-63147.959800095479</v>
      </c>
      <c r="K379" s="17">
        <f t="shared" si="242"/>
        <v>-79114.990380867966</v>
      </c>
      <c r="L379" s="17">
        <f t="shared" si="242"/>
        <v>-65430.907988127234</v>
      </c>
    </row>
    <row r="380" spans="1:12" x14ac:dyDescent="0.25">
      <c r="B380" t="s">
        <v>180</v>
      </c>
      <c r="C380" s="45">
        <f>'Balance Sheet'!C18</f>
        <v>730204</v>
      </c>
      <c r="D380" s="45">
        <f>'Balance Sheet'!D18</f>
        <v>757241</v>
      </c>
      <c r="E380" s="45">
        <f>'Balance Sheet'!E17</f>
        <v>850328</v>
      </c>
      <c r="F380" s="45">
        <f>'Balance Sheet'!F18</f>
        <v>936108</v>
      </c>
      <c r="G380" s="65">
        <f>'Balance Sheet'!G18</f>
        <v>996281</v>
      </c>
      <c r="H380" s="15">
        <f>SUM(H376:H379)</f>
        <v>1061629.6429029717</v>
      </c>
      <c r="I380" s="15">
        <f>SUM(I376:I379)</f>
        <v>1140084.9618147707</v>
      </c>
      <c r="J380" s="15">
        <f>SUM(J376:J379)</f>
        <v>1186357.8175556988</v>
      </c>
      <c r="K380" s="15">
        <f>SUM(K376:K379)</f>
        <v>1244612.3265747419</v>
      </c>
      <c r="L380" s="15">
        <f>SUM(L376:L379)</f>
        <v>1292484.4079380047</v>
      </c>
    </row>
    <row r="381" spans="1:12" x14ac:dyDescent="0.25">
      <c r="C381" s="45"/>
      <c r="D381" s="45"/>
      <c r="E381" s="45"/>
      <c r="F381" s="45"/>
      <c r="G381" s="46"/>
      <c r="H381" s="15"/>
      <c r="I381" s="15"/>
      <c r="J381" s="15"/>
      <c r="K381" s="15"/>
      <c r="L381" s="15"/>
    </row>
    <row r="382" spans="1:12" x14ac:dyDescent="0.25">
      <c r="C382" s="45"/>
      <c r="D382" s="45"/>
      <c r="E382" s="45"/>
      <c r="F382" s="45"/>
      <c r="G382" s="46"/>
      <c r="H382" s="15"/>
      <c r="I382" s="15"/>
      <c r="J382" s="15"/>
      <c r="K382" s="15"/>
      <c r="L382" s="15"/>
    </row>
    <row r="383" spans="1:12" x14ac:dyDescent="0.25">
      <c r="B383" t="s">
        <v>304</v>
      </c>
      <c r="C383" s="59">
        <f>C380-SUM(C378:C379)-C376-C384</f>
        <v>103293</v>
      </c>
      <c r="D383" s="59">
        <f t="shared" ref="D383:G383" si="243">D380-SUM(D378:D379)-D376-D384</f>
        <v>95098</v>
      </c>
      <c r="E383" s="59">
        <f t="shared" si="243"/>
        <v>92946</v>
      </c>
      <c r="F383" s="59">
        <f t="shared" si="243"/>
        <v>73851</v>
      </c>
      <c r="G383" s="60">
        <f t="shared" si="243"/>
        <v>74737</v>
      </c>
      <c r="H383" s="15">
        <f>H387*H155</f>
        <v>78740.767857142855</v>
      </c>
      <c r="I383" s="15">
        <f>I387*I155</f>
        <v>84079.125</v>
      </c>
      <c r="J383" s="15">
        <f>J387*J155</f>
        <v>85413.71428571429</v>
      </c>
      <c r="K383" s="15">
        <f>K387*K155</f>
        <v>88082.892857142855</v>
      </c>
      <c r="L383" s="15">
        <f>L387*L155</f>
        <v>89417.482142857145</v>
      </c>
    </row>
    <row r="384" spans="1:12" x14ac:dyDescent="0.25">
      <c r="B384" t="s">
        <v>303</v>
      </c>
      <c r="C384" s="75"/>
      <c r="D384" s="75"/>
      <c r="E384" s="169">
        <v>73200</v>
      </c>
      <c r="F384" s="169">
        <v>96200</v>
      </c>
      <c r="G384" s="177">
        <v>76000</v>
      </c>
      <c r="H384" s="17">
        <f>H393*H154</f>
        <v>76000</v>
      </c>
      <c r="I384" s="17">
        <f>I393*I154</f>
        <v>101333.33333333333</v>
      </c>
      <c r="J384" s="17">
        <f>J393*J154</f>
        <v>25333.333333333332</v>
      </c>
      <c r="K384" s="17">
        <f>K393*K154</f>
        <v>50666.666666666664</v>
      </c>
      <c r="L384" s="17">
        <f>L393*L154</f>
        <v>25333.333333333332</v>
      </c>
    </row>
    <row r="385" spans="2:19" x14ac:dyDescent="0.25">
      <c r="B385" t="s">
        <v>305</v>
      </c>
      <c r="C385" s="15">
        <f>SUM(C383:C384)</f>
        <v>103293</v>
      </c>
      <c r="D385" s="15">
        <f t="shared" ref="D385:G385" si="244">SUM(D383:D384)</f>
        <v>95098</v>
      </c>
      <c r="E385" s="15">
        <f t="shared" si="244"/>
        <v>166146</v>
      </c>
      <c r="F385" s="15">
        <f t="shared" si="244"/>
        <v>170051</v>
      </c>
      <c r="G385" s="30">
        <f t="shared" si="244"/>
        <v>150737</v>
      </c>
      <c r="H385" s="15">
        <f>SUM(H383:H384)</f>
        <v>154740.76785714284</v>
      </c>
      <c r="I385" s="15">
        <f t="shared" ref="I385:L385" si="245">SUM(I383:I384)</f>
        <v>185412.45833333331</v>
      </c>
      <c r="J385" s="15">
        <f t="shared" si="245"/>
        <v>110747.04761904762</v>
      </c>
      <c r="K385" s="15">
        <f t="shared" si="245"/>
        <v>138749.55952380953</v>
      </c>
      <c r="L385" s="15">
        <f t="shared" si="245"/>
        <v>114750.81547619047</v>
      </c>
    </row>
    <row r="386" spans="2:19" x14ac:dyDescent="0.25">
      <c r="O386" s="165"/>
    </row>
    <row r="387" spans="2:19" x14ac:dyDescent="0.25">
      <c r="B387" s="15" t="s">
        <v>313</v>
      </c>
      <c r="C387" s="63"/>
      <c r="D387" s="63"/>
      <c r="E387" s="188">
        <f>E383/E155</f>
        <v>1822.4705882352941</v>
      </c>
      <c r="F387" s="188">
        <f>F383/F155</f>
        <v>1367.6111111111111</v>
      </c>
      <c r="G387" s="131">
        <f>G383/G155</f>
        <v>1334.5892857142858</v>
      </c>
      <c r="H387" s="43">
        <f>G387</f>
        <v>1334.5892857142858</v>
      </c>
      <c r="I387" s="15">
        <f>H387</f>
        <v>1334.5892857142858</v>
      </c>
      <c r="J387" s="15">
        <f t="shared" ref="J387:L388" si="246">I387</f>
        <v>1334.5892857142858</v>
      </c>
      <c r="K387" s="15">
        <f t="shared" si="246"/>
        <v>1334.5892857142858</v>
      </c>
      <c r="L387" s="15">
        <f t="shared" si="246"/>
        <v>1334.5892857142858</v>
      </c>
      <c r="O387" s="165"/>
      <c r="P387" s="83"/>
      <c r="Q387" s="83"/>
      <c r="R387" s="83"/>
      <c r="S387" s="83"/>
    </row>
    <row r="388" spans="2:19" x14ac:dyDescent="0.25">
      <c r="B388" t="s">
        <v>182</v>
      </c>
      <c r="C388" s="34">
        <f>-C379/C377</f>
        <v>0.62911329906189195</v>
      </c>
      <c r="D388" s="34">
        <f>-D379/D377</f>
        <v>0.7136637994489895</v>
      </c>
      <c r="E388" s="34">
        <f>-E379/E377</f>
        <v>0.43755492157500031</v>
      </c>
      <c r="F388" s="34">
        <f>-F379/F377</f>
        <v>0.48580131842800101</v>
      </c>
      <c r="G388" s="35">
        <f>-G379/G377</f>
        <v>0.58486635663440301</v>
      </c>
      <c r="H388" s="41">
        <f>AVERAGE(C388:G388)</f>
        <v>0.57019993902965704</v>
      </c>
      <c r="I388" s="34">
        <f>H388</f>
        <v>0.57019993902965704</v>
      </c>
      <c r="J388" s="34">
        <f t="shared" si="246"/>
        <v>0.57019993902965704</v>
      </c>
      <c r="K388" s="34">
        <f t="shared" si="246"/>
        <v>0.57019993902965704</v>
      </c>
      <c r="L388" s="34">
        <f t="shared" si="246"/>
        <v>0.57019993902965704</v>
      </c>
    </row>
    <row r="389" spans="2:19" x14ac:dyDescent="0.25">
      <c r="B389" t="s">
        <v>189</v>
      </c>
      <c r="C389" s="66">
        <f>-C378/C8</f>
        <v>1.0635738124369625E-4</v>
      </c>
      <c r="D389" s="66">
        <f>-D378/D8</f>
        <v>4.7465712171364504E-5</v>
      </c>
      <c r="E389" s="66">
        <f>-E378/E8</f>
        <v>8.182523308858295E-5</v>
      </c>
      <c r="F389" s="66">
        <f>-F378/F8</f>
        <v>3.3781734989208158E-4</v>
      </c>
      <c r="G389" s="67">
        <f>-G378/G8</f>
        <v>4.55969096566399E-4</v>
      </c>
      <c r="H389" s="69">
        <f>AVERAGE(C389:G389)</f>
        <v>2.0588695459242487E-4</v>
      </c>
      <c r="I389" s="66">
        <f>H389</f>
        <v>2.0588695459242487E-4</v>
      </c>
      <c r="J389" s="66">
        <f t="shared" ref="J389:L389" si="247">I389</f>
        <v>2.0588695459242487E-4</v>
      </c>
      <c r="K389" s="66">
        <f t="shared" si="247"/>
        <v>2.0588695459242487E-4</v>
      </c>
      <c r="L389" s="66">
        <f t="shared" si="247"/>
        <v>2.0588695459242487E-4</v>
      </c>
      <c r="O389" s="208"/>
    </row>
    <row r="390" spans="2:19" x14ac:dyDescent="0.25">
      <c r="O390" s="208"/>
    </row>
    <row r="391" spans="2:19" x14ac:dyDescent="0.25">
      <c r="B391" t="s">
        <v>113</v>
      </c>
      <c r="C391">
        <f>C56</f>
        <v>385</v>
      </c>
      <c r="D391">
        <f>D56</f>
        <v>193</v>
      </c>
      <c r="E391">
        <f>E56</f>
        <v>361</v>
      </c>
      <c r="F391">
        <f>F56</f>
        <v>1660</v>
      </c>
      <c r="G391" s="13">
        <f>G56</f>
        <v>2403</v>
      </c>
      <c r="H391" s="81">
        <f>H392*H376</f>
        <v>1158.9485566256508</v>
      </c>
      <c r="I391" s="81">
        <f>I392*I376</f>
        <v>1234.966984528867</v>
      </c>
      <c r="J391" s="81">
        <f>J392*J376</f>
        <v>1326.2320780240102</v>
      </c>
      <c r="K391" s="81">
        <f>K392*K376</f>
        <v>1380.060123898513</v>
      </c>
      <c r="L391" s="81">
        <f>L392*L376</f>
        <v>1447.826124800423</v>
      </c>
      <c r="O391" s="15"/>
    </row>
    <row r="392" spans="2:19" x14ac:dyDescent="0.25">
      <c r="B392" t="s">
        <v>365</v>
      </c>
      <c r="C392" s="66">
        <f>C391/C376</f>
        <v>5.5613415978239989E-4</v>
      </c>
      <c r="D392" s="66">
        <f>D391/D376</f>
        <v>2.6430969975513693E-4</v>
      </c>
      <c r="E392" s="66">
        <f>E391/E376</f>
        <v>4.7673065774304349E-4</v>
      </c>
      <c r="F392" s="66">
        <f>F391/F376</f>
        <v>1.9521878616251612E-3</v>
      </c>
      <c r="G392" s="67">
        <f>G391/G376</f>
        <v>2.56701149867323E-3</v>
      </c>
      <c r="H392" s="76">
        <f>AVERAGE(C392:G392)</f>
        <v>1.1632747755157941E-3</v>
      </c>
      <c r="I392" s="68">
        <f>H392</f>
        <v>1.1632747755157941E-3</v>
      </c>
      <c r="J392" s="68">
        <f t="shared" ref="J392:L393" si="248">I392</f>
        <v>1.1632747755157941E-3</v>
      </c>
      <c r="K392" s="68">
        <f t="shared" si="248"/>
        <v>1.1632747755157941E-3</v>
      </c>
      <c r="L392" s="68">
        <f t="shared" si="248"/>
        <v>1.1632747755157941E-3</v>
      </c>
      <c r="O392" s="15"/>
    </row>
    <row r="393" spans="2:19" x14ac:dyDescent="0.25">
      <c r="B393" t="s">
        <v>366</v>
      </c>
      <c r="C393" s="38"/>
      <c r="D393" s="38"/>
      <c r="E393" s="15">
        <f>E384/F154</f>
        <v>24400</v>
      </c>
      <c r="F393" s="15">
        <f>F384/G154</f>
        <v>48100</v>
      </c>
      <c r="G393" s="14">
        <f>G384/H154</f>
        <v>25333.333333333332</v>
      </c>
      <c r="H393" s="43">
        <f>MEDIAN(E393:G393)</f>
        <v>25333.333333333332</v>
      </c>
      <c r="I393" s="15">
        <f>H393</f>
        <v>25333.333333333332</v>
      </c>
      <c r="J393" s="15">
        <f t="shared" si="248"/>
        <v>25333.333333333332</v>
      </c>
      <c r="K393" s="15">
        <f t="shared" si="248"/>
        <v>25333.333333333332</v>
      </c>
      <c r="L393" s="15">
        <f t="shared" si="248"/>
        <v>25333.333333333332</v>
      </c>
    </row>
    <row r="394" spans="2:19" x14ac:dyDescent="0.25">
      <c r="E394" s="15"/>
      <c r="F394" s="15"/>
      <c r="G394" s="14"/>
      <c r="H394" s="15"/>
      <c r="I394" s="15"/>
      <c r="J394" s="15"/>
      <c r="K394" s="15"/>
      <c r="L394" s="15"/>
    </row>
    <row r="395" spans="2:19" x14ac:dyDescent="0.25">
      <c r="C395" s="136" t="s">
        <v>200</v>
      </c>
      <c r="D395" s="134"/>
      <c r="E395" s="134"/>
      <c r="F395" s="134"/>
      <c r="G395" s="135"/>
      <c r="H395" s="134"/>
      <c r="I395" s="134"/>
      <c r="J395" s="134"/>
      <c r="K395" s="134"/>
      <c r="L395" s="134"/>
      <c r="O395" s="15"/>
      <c r="P395" s="83"/>
    </row>
    <row r="396" spans="2:19" x14ac:dyDescent="0.25">
      <c r="C396" s="23">
        <f>$C$7</f>
        <v>2021</v>
      </c>
      <c r="D396" s="23">
        <f>$D$7</f>
        <v>2022</v>
      </c>
      <c r="E396" s="23">
        <f>$E$7</f>
        <v>2023</v>
      </c>
      <c r="F396" s="23">
        <f>$F$7</f>
        <v>2024</v>
      </c>
      <c r="G396" s="27">
        <f>$G$7</f>
        <v>2025</v>
      </c>
      <c r="H396" s="24">
        <f>$H$7</f>
        <v>2026</v>
      </c>
      <c r="I396" s="24">
        <f>$I$7</f>
        <v>2027</v>
      </c>
      <c r="J396" s="24">
        <f>$J$7</f>
        <v>2028</v>
      </c>
      <c r="K396" s="24">
        <f>$K$7</f>
        <v>2029</v>
      </c>
      <c r="L396" s="24">
        <f>$L$7</f>
        <v>2030</v>
      </c>
      <c r="O396" s="18"/>
      <c r="P396" s="15"/>
    </row>
    <row r="397" spans="2:19" x14ac:dyDescent="0.25">
      <c r="B397" t="s">
        <v>89</v>
      </c>
    </row>
    <row r="398" spans="2:19" x14ac:dyDescent="0.25">
      <c r="B398" t="s">
        <v>90</v>
      </c>
      <c r="C398" s="119">
        <v>3</v>
      </c>
      <c r="D398">
        <f>C398</f>
        <v>3</v>
      </c>
      <c r="E398">
        <f t="shared" ref="E398:L398" si="249">D398</f>
        <v>3</v>
      </c>
      <c r="F398">
        <f t="shared" si="249"/>
        <v>3</v>
      </c>
      <c r="G398" s="13">
        <f t="shared" si="249"/>
        <v>3</v>
      </c>
      <c r="H398">
        <f t="shared" si="249"/>
        <v>3</v>
      </c>
      <c r="I398">
        <f t="shared" si="249"/>
        <v>3</v>
      </c>
      <c r="J398">
        <f t="shared" si="249"/>
        <v>3</v>
      </c>
      <c r="K398">
        <f t="shared" si="249"/>
        <v>3</v>
      </c>
      <c r="L398">
        <f t="shared" si="249"/>
        <v>3</v>
      </c>
    </row>
    <row r="399" spans="2:19" x14ac:dyDescent="0.25">
      <c r="B399" t="s">
        <v>91</v>
      </c>
      <c r="C399" s="38"/>
      <c r="D399" s="38"/>
      <c r="E399" s="38"/>
      <c r="F399" s="38"/>
      <c r="G399" s="72"/>
      <c r="H399" s="15">
        <f>H409</f>
        <v>548342.83279999997</v>
      </c>
      <c r="I399" s="15">
        <f t="shared" ref="I399:L399" si="250">I409</f>
        <v>567901.33058399986</v>
      </c>
      <c r="J399" s="15">
        <f t="shared" si="250"/>
        <v>588046.58330151986</v>
      </c>
      <c r="K399" s="15">
        <f t="shared" si="250"/>
        <v>608796.19360056543</v>
      </c>
      <c r="L399" s="15">
        <f t="shared" si="250"/>
        <v>630168.2922085824</v>
      </c>
    </row>
    <row r="400" spans="2:19" x14ac:dyDescent="0.25">
      <c r="B400" t="s">
        <v>92</v>
      </c>
      <c r="C400" s="38"/>
      <c r="D400" s="38"/>
      <c r="E400" s="38"/>
      <c r="F400" s="38"/>
      <c r="G400" s="72"/>
      <c r="H400" s="15">
        <f t="shared" ref="H400:L400" si="251">H415</f>
        <v>-124584.4728</v>
      </c>
      <c r="I400" s="15">
        <f t="shared" si="251"/>
        <v>-129185.31978400001</v>
      </c>
      <c r="J400" s="15">
        <f t="shared" si="251"/>
        <v>-133774.19217751999</v>
      </c>
      <c r="K400" s="15">
        <f t="shared" si="251"/>
        <v>-138350.7307428456</v>
      </c>
      <c r="L400" s="15">
        <f t="shared" si="251"/>
        <v>-142914.56546513096</v>
      </c>
    </row>
    <row r="401" spans="2:13" x14ac:dyDescent="0.25">
      <c r="B401" t="s">
        <v>94</v>
      </c>
      <c r="C401" s="38"/>
      <c r="D401" s="38"/>
      <c r="E401" s="38"/>
      <c r="F401" s="38"/>
      <c r="G401" s="72"/>
      <c r="H401" s="15">
        <f ca="1">H421</f>
        <v>1103000.3681688746</v>
      </c>
      <c r="I401" s="15">
        <f t="shared" ref="I401:L401" ca="1" si="252">I421</f>
        <v>1213630.7158161853</v>
      </c>
      <c r="J401" s="15">
        <f t="shared" ca="1" si="252"/>
        <v>1331279.5116325319</v>
      </c>
      <c r="K401" s="15">
        <f t="shared" ca="1" si="252"/>
        <v>1455325.9504822257</v>
      </c>
      <c r="L401" s="15">
        <f t="shared" ca="1" si="252"/>
        <v>1589130.6977822222</v>
      </c>
    </row>
    <row r="402" spans="2:13" x14ac:dyDescent="0.25">
      <c r="B402" t="s">
        <v>96</v>
      </c>
      <c r="C402" s="73"/>
      <c r="D402" s="73"/>
      <c r="E402" s="73"/>
      <c r="F402" s="73"/>
      <c r="G402" s="74"/>
      <c r="H402" s="75">
        <f>$G$137</f>
        <v>-161439</v>
      </c>
      <c r="I402" s="75">
        <f>H402</f>
        <v>-161439</v>
      </c>
      <c r="J402" s="75">
        <f t="shared" ref="J402:L402" si="253">I402</f>
        <v>-161439</v>
      </c>
      <c r="K402" s="75">
        <f t="shared" si="253"/>
        <v>-161439</v>
      </c>
      <c r="L402" s="75">
        <f t="shared" si="253"/>
        <v>-161439</v>
      </c>
    </row>
    <row r="403" spans="2:13" x14ac:dyDescent="0.25">
      <c r="B403" t="s">
        <v>323</v>
      </c>
      <c r="H403" s="15">
        <f ca="1">SUM(H398:H402)</f>
        <v>1365322.7281688745</v>
      </c>
      <c r="I403" s="15">
        <f t="shared" ref="I403:L403" ca="1" si="254">SUM(I398:I402)</f>
        <v>1490910.7266161852</v>
      </c>
      <c r="J403" s="15">
        <f t="shared" ca="1" si="254"/>
        <v>1624115.9027565317</v>
      </c>
      <c r="K403" s="15">
        <f t="shared" ca="1" si="254"/>
        <v>1764335.4133399455</v>
      </c>
      <c r="L403" s="15">
        <f t="shared" ca="1" si="254"/>
        <v>1914948.4245256735</v>
      </c>
    </row>
    <row r="404" spans="2:13" x14ac:dyDescent="0.25">
      <c r="H404" s="15"/>
      <c r="I404" s="15"/>
      <c r="J404" s="15"/>
      <c r="K404" s="15"/>
      <c r="L404" s="15"/>
    </row>
    <row r="405" spans="2:13" x14ac:dyDescent="0.25">
      <c r="H405" s="15"/>
      <c r="I405" s="15"/>
      <c r="J405" s="15"/>
      <c r="K405" s="15"/>
      <c r="L405" s="15"/>
    </row>
    <row r="406" spans="2:13" x14ac:dyDescent="0.25">
      <c r="B406" t="s">
        <v>224</v>
      </c>
      <c r="C406" s="38"/>
      <c r="D406" s="15">
        <f>C134</f>
        <v>465015</v>
      </c>
      <c r="E406" s="15">
        <f>D409</f>
        <v>481406</v>
      </c>
      <c r="F406" s="15">
        <f t="shared" ref="F406:G406" si="255">E409</f>
        <v>497434</v>
      </c>
      <c r="G406" s="14">
        <f t="shared" si="255"/>
        <v>514542</v>
      </c>
      <c r="H406" s="15">
        <f>G409</f>
        <v>529354</v>
      </c>
      <c r="I406" s="15">
        <f t="shared" ref="I406:L406" si="256">H409</f>
        <v>548342.83279999997</v>
      </c>
      <c r="J406" s="15">
        <f t="shared" si="256"/>
        <v>567901.33058399986</v>
      </c>
      <c r="K406" s="15">
        <f t="shared" si="256"/>
        <v>588046.58330151986</v>
      </c>
      <c r="L406" s="15">
        <f t="shared" si="256"/>
        <v>608796.19360056543</v>
      </c>
    </row>
    <row r="407" spans="2:13" x14ac:dyDescent="0.25">
      <c r="B407" s="18" t="s">
        <v>230</v>
      </c>
      <c r="C407" s="31"/>
      <c r="D407" s="15">
        <f>D409-D406</f>
        <v>16391</v>
      </c>
      <c r="E407" s="15">
        <f>E409-E406</f>
        <v>16028</v>
      </c>
      <c r="F407" s="15">
        <f>F409-F406</f>
        <v>17108</v>
      </c>
      <c r="G407" s="14">
        <f>G409-G406</f>
        <v>14812</v>
      </c>
      <c r="H407" s="219">
        <f>18812*(1+H410)</f>
        <v>19376.36</v>
      </c>
      <c r="I407" s="220">
        <f>H407*(1+I410)</f>
        <v>19957.650799999999</v>
      </c>
      <c r="J407" s="220">
        <f>I407*(1+J410)</f>
        <v>20556.380324000002</v>
      </c>
      <c r="K407" s="220">
        <f>J407*(1+K410)</f>
        <v>21173.071733720004</v>
      </c>
      <c r="L407" s="220">
        <f>K407*(1+L410)</f>
        <v>21808.263885731605</v>
      </c>
      <c r="M407" s="15"/>
    </row>
    <row r="408" spans="2:13" x14ac:dyDescent="0.25">
      <c r="B408" s="18" t="s">
        <v>348</v>
      </c>
      <c r="C408" s="19"/>
      <c r="D408" s="17"/>
      <c r="E408" s="17"/>
      <c r="F408" s="17"/>
      <c r="G408" s="16"/>
      <c r="H408" s="223">
        <f>-H414</f>
        <v>-387.52719999999999</v>
      </c>
      <c r="I408" s="221">
        <f t="shared" ref="I408:L408" si="257">-I414</f>
        <v>-399.15301599999998</v>
      </c>
      <c r="J408" s="221">
        <f t="shared" si="257"/>
        <v>-411.12760648000005</v>
      </c>
      <c r="K408" s="221">
        <f t="shared" si="257"/>
        <v>-423.4614346744001</v>
      </c>
      <c r="L408" s="221">
        <f t="shared" si="257"/>
        <v>-436.16527771463211</v>
      </c>
      <c r="M408" s="15"/>
    </row>
    <row r="409" spans="2:13" x14ac:dyDescent="0.25">
      <c r="B409" t="s">
        <v>225</v>
      </c>
      <c r="C409" s="38"/>
      <c r="D409" s="15">
        <f>D134</f>
        <v>481406</v>
      </c>
      <c r="E409" s="15">
        <f>E134</f>
        <v>497434</v>
      </c>
      <c r="F409" s="15">
        <f>F134</f>
        <v>514542</v>
      </c>
      <c r="G409" s="14">
        <f>G134</f>
        <v>529354</v>
      </c>
      <c r="H409" s="15">
        <f>SUM(H406:H408)</f>
        <v>548342.83279999997</v>
      </c>
      <c r="I409" s="15">
        <f t="shared" ref="I409:L409" si="258">SUM(I406:I408)</f>
        <v>567901.33058399986</v>
      </c>
      <c r="J409" s="15">
        <f t="shared" si="258"/>
        <v>588046.58330151986</v>
      </c>
      <c r="K409" s="15">
        <f t="shared" si="258"/>
        <v>608796.19360056543</v>
      </c>
      <c r="L409" s="15">
        <f t="shared" si="258"/>
        <v>630168.2922085824</v>
      </c>
    </row>
    <row r="410" spans="2:13" x14ac:dyDescent="0.25">
      <c r="B410" s="120" t="s">
        <v>226</v>
      </c>
      <c r="E410" s="34">
        <f>E407/D407-1</f>
        <v>-2.2146299798669999E-2</v>
      </c>
      <c r="F410" s="34">
        <f>F407/E407-1</f>
        <v>6.7382081357624246E-2</v>
      </c>
      <c r="G410" s="35">
        <f>G407/F407-1</f>
        <v>-0.13420621931260224</v>
      </c>
      <c r="H410" s="121">
        <v>0.03</v>
      </c>
      <c r="I410" s="34">
        <f>H410</f>
        <v>0.03</v>
      </c>
      <c r="J410" s="34">
        <f>I410</f>
        <v>0.03</v>
      </c>
      <c r="K410" s="34">
        <f>J410</f>
        <v>0.03</v>
      </c>
      <c r="L410" s="34">
        <f>K410</f>
        <v>0.03</v>
      </c>
    </row>
    <row r="411" spans="2:13" x14ac:dyDescent="0.25">
      <c r="B411" s="120"/>
      <c r="E411" s="34"/>
      <c r="F411" s="34"/>
      <c r="G411" s="35"/>
      <c r="H411" s="122"/>
      <c r="I411" s="34"/>
      <c r="J411" s="34"/>
      <c r="K411" s="34"/>
      <c r="L411" s="34"/>
    </row>
    <row r="412" spans="2:13" x14ac:dyDescent="0.25">
      <c r="B412" t="s">
        <v>227</v>
      </c>
      <c r="C412" s="38"/>
      <c r="D412" s="15">
        <f>$C$135</f>
        <v>-26084</v>
      </c>
      <c r="E412" s="15">
        <f>D415</f>
        <v>-31644</v>
      </c>
      <c r="F412" s="15">
        <f t="shared" ref="F412:G412" si="259">E415</f>
        <v>-43961</v>
      </c>
      <c r="G412" s="14">
        <f t="shared" si="259"/>
        <v>-117262</v>
      </c>
      <c r="H412" s="15">
        <f>G415</f>
        <v>-119972</v>
      </c>
      <c r="I412" s="15">
        <f t="shared" ref="I412:L412" si="260">H415</f>
        <v>-124584.4728</v>
      </c>
      <c r="J412" s="15">
        <f t="shared" si="260"/>
        <v>-129185.31978400001</v>
      </c>
      <c r="K412" s="15">
        <f t="shared" si="260"/>
        <v>-133774.19217751999</v>
      </c>
      <c r="L412" s="15">
        <f t="shared" si="260"/>
        <v>-138350.7307428456</v>
      </c>
    </row>
    <row r="413" spans="2:13" x14ac:dyDescent="0.25">
      <c r="B413" s="18" t="s">
        <v>228</v>
      </c>
      <c r="C413" s="31"/>
      <c r="D413" s="15">
        <f>D68</f>
        <v>-6259</v>
      </c>
      <c r="E413" s="15">
        <f>E68</f>
        <v>-12863</v>
      </c>
      <c r="F413" s="15">
        <f>F68</f>
        <v>-73486</v>
      </c>
      <c r="G413" s="14">
        <f>G68</f>
        <v>-6710</v>
      </c>
      <c r="H413" s="124">
        <v>-5000</v>
      </c>
      <c r="I413" s="125">
        <f>H413</f>
        <v>-5000</v>
      </c>
      <c r="J413" s="125">
        <f t="shared" ref="J413:L413" si="261">I413</f>
        <v>-5000</v>
      </c>
      <c r="K413" s="125">
        <f t="shared" si="261"/>
        <v>-5000</v>
      </c>
      <c r="L413" s="125">
        <f t="shared" si="261"/>
        <v>-5000</v>
      </c>
    </row>
    <row r="414" spans="2:13" x14ac:dyDescent="0.25">
      <c r="B414" s="18" t="s">
        <v>229</v>
      </c>
      <c r="C414" s="168"/>
      <c r="D414" s="17">
        <f>D415-SUM(D412:D413)</f>
        <v>699</v>
      </c>
      <c r="E414" s="17">
        <f t="shared" ref="E414:G414" si="262">E415-SUM(E412:E413)</f>
        <v>546</v>
      </c>
      <c r="F414" s="17">
        <f t="shared" si="262"/>
        <v>185</v>
      </c>
      <c r="G414" s="17">
        <f t="shared" si="262"/>
        <v>4000</v>
      </c>
      <c r="H414" s="126">
        <f>H407*H416</f>
        <v>387.52719999999999</v>
      </c>
      <c r="I414" s="127">
        <f>I407*I416</f>
        <v>399.15301599999998</v>
      </c>
      <c r="J414" s="127">
        <f>J407*J416</f>
        <v>411.12760648000005</v>
      </c>
      <c r="K414" s="127">
        <f>K407*K416</f>
        <v>423.4614346744001</v>
      </c>
      <c r="L414" s="127">
        <f>L407*L416</f>
        <v>436.16527771463211</v>
      </c>
    </row>
    <row r="415" spans="2:13" x14ac:dyDescent="0.25">
      <c r="B415" t="s">
        <v>231</v>
      </c>
      <c r="C415" s="31"/>
      <c r="D415" s="15">
        <f>D135</f>
        <v>-31644</v>
      </c>
      <c r="E415" s="15">
        <f>E135</f>
        <v>-43961</v>
      </c>
      <c r="F415" s="15">
        <f>F135</f>
        <v>-117262</v>
      </c>
      <c r="G415" s="128">
        <f>G135</f>
        <v>-119972</v>
      </c>
      <c r="H415" s="129">
        <f>SUM(H412:H414)</f>
        <v>-124584.4728</v>
      </c>
      <c r="I415" s="128">
        <f>SUM(I412:I414)</f>
        <v>-129185.31978400001</v>
      </c>
      <c r="J415" s="128">
        <f t="shared" ref="J415:L415" si="263">SUM(J412:J414)</f>
        <v>-133774.19217751999</v>
      </c>
      <c r="K415" s="128">
        <f t="shared" si="263"/>
        <v>-138350.7307428456</v>
      </c>
      <c r="L415" s="128">
        <f t="shared" si="263"/>
        <v>-142914.56546513096</v>
      </c>
    </row>
    <row r="416" spans="2:13" x14ac:dyDescent="0.25">
      <c r="B416" s="123" t="s">
        <v>232</v>
      </c>
      <c r="D416" s="34">
        <f>D414/D407</f>
        <v>4.2645354157769509E-2</v>
      </c>
      <c r="E416" s="34">
        <f t="shared" ref="E416:G416" si="264">E414/E407</f>
        <v>3.4065385575243322E-2</v>
      </c>
      <c r="F416" s="34">
        <f t="shared" si="264"/>
        <v>1.0813654430675708E-2</v>
      </c>
      <c r="G416" s="35">
        <f t="shared" si="264"/>
        <v>0.27005130974885228</v>
      </c>
      <c r="H416" s="121">
        <v>0.02</v>
      </c>
      <c r="I416" s="34">
        <f>H416</f>
        <v>0.02</v>
      </c>
      <c r="J416" s="34">
        <f t="shared" ref="J416:L416" si="265">I416</f>
        <v>0.02</v>
      </c>
      <c r="K416" s="34">
        <f t="shared" si="265"/>
        <v>0.02</v>
      </c>
      <c r="L416" s="34">
        <f t="shared" si="265"/>
        <v>0.02</v>
      </c>
    </row>
    <row r="417" spans="2:12" x14ac:dyDescent="0.25">
      <c r="B417" s="123"/>
      <c r="D417" s="34"/>
      <c r="E417" s="34"/>
      <c r="F417" s="34"/>
      <c r="G417" s="35"/>
      <c r="H417" s="122"/>
      <c r="I417" s="34"/>
      <c r="J417" s="34"/>
      <c r="K417" s="34"/>
      <c r="L417" s="34"/>
    </row>
    <row r="418" spans="2:12" x14ac:dyDescent="0.25">
      <c r="B418" s="18" t="s">
        <v>234</v>
      </c>
      <c r="C418" s="38"/>
      <c r="D418" s="15">
        <f>C421</f>
        <v>658919</v>
      </c>
      <c r="E418" s="15">
        <f t="shared" ref="E418:G418" si="266">D421</f>
        <v>736894</v>
      </c>
      <c r="F418" s="15">
        <f t="shared" si="266"/>
        <v>817559</v>
      </c>
      <c r="G418" s="14">
        <f t="shared" si="266"/>
        <v>890272</v>
      </c>
      <c r="H418" s="15">
        <f>G421</f>
        <v>999426</v>
      </c>
      <c r="I418" s="15">
        <f t="shared" ref="I418:L418" ca="1" si="267">H421</f>
        <v>1103000.3681688746</v>
      </c>
      <c r="J418" s="15">
        <f t="shared" ca="1" si="267"/>
        <v>1213630.7158161853</v>
      </c>
      <c r="K418" s="15">
        <f t="shared" ca="1" si="267"/>
        <v>1331279.5116325319</v>
      </c>
      <c r="L418" s="15">
        <f t="shared" ca="1" si="267"/>
        <v>1455325.9504822257</v>
      </c>
    </row>
    <row r="419" spans="2:12" x14ac:dyDescent="0.25">
      <c r="B419" s="18" t="s">
        <v>233</v>
      </c>
      <c r="C419" s="132"/>
      <c r="D419" s="130">
        <f t="shared" ref="D419:L419" si="268">D21</f>
        <v>104534</v>
      </c>
      <c r="E419" s="130">
        <f t="shared" si="268"/>
        <v>109205</v>
      </c>
      <c r="F419" s="130">
        <f t="shared" si="268"/>
        <v>138875</v>
      </c>
      <c r="G419" s="131">
        <f t="shared" si="268"/>
        <v>147887</v>
      </c>
      <c r="H419" s="130">
        <f t="shared" ca="1" si="268"/>
        <v>150858.64405529777</v>
      </c>
      <c r="I419" s="130">
        <f t="shared" ca="1" si="268"/>
        <v>161135.85371071496</v>
      </c>
      <c r="J419" s="130">
        <f t="shared" ca="1" si="268"/>
        <v>171358.39808025234</v>
      </c>
      <c r="K419" s="130">
        <f t="shared" ca="1" si="268"/>
        <v>180676.7243247052</v>
      </c>
      <c r="L419" s="130">
        <f t="shared" ca="1" si="268"/>
        <v>194889.94335864342</v>
      </c>
    </row>
    <row r="420" spans="2:12" x14ac:dyDescent="0.25">
      <c r="B420" s="18" t="s">
        <v>201</v>
      </c>
      <c r="C420" s="19"/>
      <c r="D420" s="17">
        <f>D69</f>
        <v>-26559</v>
      </c>
      <c r="E420" s="17">
        <f>E69</f>
        <v>-28540</v>
      </c>
      <c r="F420" s="17">
        <f>F69</f>
        <v>-66162</v>
      </c>
      <c r="G420" s="16">
        <f>G69</f>
        <v>-38733</v>
      </c>
      <c r="H420" s="42">
        <f ca="1">-H424*H21</f>
        <v>-47284.275886423267</v>
      </c>
      <c r="I420" s="17">
        <f ca="1">-I424*I21</f>
        <v>-50505.50606340426</v>
      </c>
      <c r="J420" s="17">
        <f ca="1">-J424*J21</f>
        <v>-53709.602263905894</v>
      </c>
      <c r="K420" s="17">
        <f ca="1">-K424*K21</f>
        <v>-56630.285475011115</v>
      </c>
      <c r="L420" s="17">
        <f ca="1">-L424*L21</f>
        <v>-61085.19605864695</v>
      </c>
    </row>
    <row r="421" spans="2:12" x14ac:dyDescent="0.25">
      <c r="B421" s="18" t="s">
        <v>235</v>
      </c>
      <c r="C421" s="132">
        <f>C136</f>
        <v>658919</v>
      </c>
      <c r="D421" s="130">
        <f>D136</f>
        <v>736894</v>
      </c>
      <c r="E421" s="130">
        <f>E136</f>
        <v>817559</v>
      </c>
      <c r="F421" s="130">
        <f>F136</f>
        <v>890272</v>
      </c>
      <c r="G421" s="131">
        <f>G136</f>
        <v>999426</v>
      </c>
      <c r="H421" s="130">
        <f ca="1">SUM(H418:H420)</f>
        <v>1103000.3681688746</v>
      </c>
      <c r="I421" s="130">
        <f ca="1">SUM(I418:I420)</f>
        <v>1213630.7158161853</v>
      </c>
      <c r="J421" s="130">
        <f ca="1">SUM(J418:J420)</f>
        <v>1331279.5116325319</v>
      </c>
      <c r="K421" s="130">
        <f ca="1">SUM(K418:K420)</f>
        <v>1455325.9504822257</v>
      </c>
      <c r="L421" s="130">
        <f ca="1">SUM(L418:L420)</f>
        <v>1589130.6977822222</v>
      </c>
    </row>
    <row r="422" spans="2:12" x14ac:dyDescent="0.25">
      <c r="B422" s="18"/>
      <c r="C422" s="132"/>
      <c r="D422" s="130"/>
      <c r="E422" s="130"/>
      <c r="F422" s="130"/>
      <c r="G422" s="131"/>
      <c r="H422" s="130"/>
      <c r="I422" s="130"/>
      <c r="J422" s="130"/>
      <c r="K422" s="130"/>
      <c r="L422" s="130"/>
    </row>
    <row r="423" spans="2:12" x14ac:dyDescent="0.25">
      <c r="B423" s="37" t="s">
        <v>144</v>
      </c>
    </row>
    <row r="424" spans="2:12" x14ac:dyDescent="0.25">
      <c r="B424" t="s">
        <v>202</v>
      </c>
      <c r="C424" s="34"/>
      <c r="D424" s="34">
        <f t="shared" ref="D424:F424" si="269">D420/-D419</f>
        <v>0.25407044597929862</v>
      </c>
      <c r="E424" s="34">
        <f t="shared" si="269"/>
        <v>0.26134334508493201</v>
      </c>
      <c r="F424" s="34">
        <f t="shared" si="269"/>
        <v>0.4764140414041404</v>
      </c>
      <c r="G424" s="35">
        <f>G420/-G419</f>
        <v>0.26190943084922946</v>
      </c>
      <c r="H424" s="41">
        <f>AVERAGE(D424:G424)</f>
        <v>0.31343431582940018</v>
      </c>
      <c r="I424" s="20">
        <f>H424</f>
        <v>0.31343431582940018</v>
      </c>
      <c r="J424" s="20">
        <f t="shared" ref="J424:L424" si="270">I424</f>
        <v>0.31343431582940018</v>
      </c>
      <c r="K424" s="20">
        <f t="shared" si="270"/>
        <v>0.31343431582940018</v>
      </c>
      <c r="L424" s="20">
        <f t="shared" si="270"/>
        <v>0.31343431582940018</v>
      </c>
    </row>
    <row r="425" spans="2:12" x14ac:dyDescent="0.25">
      <c r="C425" s="39"/>
      <c r="D425" s="39"/>
      <c r="E425" s="39"/>
      <c r="F425" s="39"/>
      <c r="G425" s="40"/>
      <c r="H425" s="147"/>
      <c r="I425" s="20"/>
      <c r="J425" s="20"/>
      <c r="K425" s="20"/>
      <c r="L425" s="20"/>
    </row>
    <row r="426" spans="2:12" x14ac:dyDescent="0.25">
      <c r="C426" s="136" t="s">
        <v>212</v>
      </c>
      <c r="D426" s="136"/>
      <c r="E426" s="136"/>
      <c r="F426" s="136"/>
      <c r="G426" s="140"/>
      <c r="H426" s="136"/>
      <c r="I426" s="136"/>
      <c r="J426" s="136"/>
      <c r="K426" s="136"/>
      <c r="L426" s="136"/>
    </row>
    <row r="427" spans="2:12" x14ac:dyDescent="0.25">
      <c r="C427" s="23">
        <f t="shared" ref="C427:L427" si="271">C396</f>
        <v>2021</v>
      </c>
      <c r="D427" s="23">
        <f t="shared" si="271"/>
        <v>2022</v>
      </c>
      <c r="E427" s="23">
        <f t="shared" si="271"/>
        <v>2023</v>
      </c>
      <c r="F427" s="23">
        <f t="shared" si="271"/>
        <v>2024</v>
      </c>
      <c r="G427" s="27">
        <f t="shared" si="271"/>
        <v>2025</v>
      </c>
      <c r="H427" s="24">
        <f t="shared" si="271"/>
        <v>2026</v>
      </c>
      <c r="I427" s="24">
        <f t="shared" si="271"/>
        <v>2027</v>
      </c>
      <c r="J427" s="24">
        <f t="shared" si="271"/>
        <v>2028</v>
      </c>
      <c r="K427" s="24">
        <f t="shared" si="271"/>
        <v>2029</v>
      </c>
      <c r="L427" s="24">
        <f t="shared" si="271"/>
        <v>2030</v>
      </c>
    </row>
    <row r="428" spans="2:12" x14ac:dyDescent="0.25">
      <c r="B428" t="s">
        <v>213</v>
      </c>
      <c r="C428" s="38"/>
      <c r="D428" s="38"/>
      <c r="E428">
        <f>D431</f>
        <v>125987</v>
      </c>
      <c r="F428">
        <f t="shared" ref="F428:G428" si="272">E431</f>
        <v>129816</v>
      </c>
      <c r="G428" s="13">
        <f t="shared" si="272"/>
        <v>111260</v>
      </c>
      <c r="H428" s="92">
        <f>G431</f>
        <v>130174</v>
      </c>
      <c r="I428" s="92">
        <f>H431</f>
        <v>114155</v>
      </c>
      <c r="J428" s="92">
        <f>I431</f>
        <v>125467</v>
      </c>
      <c r="K428" s="92">
        <f>J431</f>
        <v>123482.4</v>
      </c>
      <c r="L428" s="92">
        <f>K431</f>
        <v>121669.79999999999</v>
      </c>
    </row>
    <row r="429" spans="2:12" x14ac:dyDescent="0.25">
      <c r="B429" t="s">
        <v>214</v>
      </c>
      <c r="C429" s="38"/>
      <c r="D429" s="38"/>
      <c r="E429" s="104">
        <v>3829</v>
      </c>
      <c r="F429" s="44">
        <v>0</v>
      </c>
      <c r="G429" s="109">
        <v>18914</v>
      </c>
      <c r="H429" s="44">
        <v>0</v>
      </c>
      <c r="I429" s="104">
        <v>26114</v>
      </c>
      <c r="J429" s="179">
        <f>AVERAGE(E429:I429)</f>
        <v>9771.4</v>
      </c>
      <c r="K429" s="92">
        <f>J429</f>
        <v>9771.4</v>
      </c>
      <c r="L429" s="92">
        <f>K429</f>
        <v>9771.4</v>
      </c>
    </row>
    <row r="430" spans="2:12" x14ac:dyDescent="0.25">
      <c r="B430" t="s">
        <v>217</v>
      </c>
      <c r="C430" s="73"/>
      <c r="D430" s="73"/>
      <c r="E430" s="73"/>
      <c r="F430" s="114">
        <f>-F435</f>
        <v>-15368</v>
      </c>
      <c r="G430" s="115">
        <f>-G435</f>
        <v>-14834</v>
      </c>
      <c r="H430" s="107">
        <f>-H435</f>
        <v>-16019</v>
      </c>
      <c r="I430" s="107">
        <f t="shared" ref="I430:L430" si="273">-I435</f>
        <v>-14802</v>
      </c>
      <c r="J430" s="107">
        <f t="shared" si="273"/>
        <v>-11756</v>
      </c>
      <c r="K430" s="107">
        <f t="shared" si="273"/>
        <v>-11584</v>
      </c>
      <c r="L430" s="107">
        <f t="shared" si="273"/>
        <v>-11813</v>
      </c>
    </row>
    <row r="431" spans="2:12" x14ac:dyDescent="0.25">
      <c r="B431" t="s">
        <v>215</v>
      </c>
      <c r="C431" s="38"/>
      <c r="D431">
        <f>D124</f>
        <v>125987</v>
      </c>
      <c r="E431">
        <f>E124</f>
        <v>129816</v>
      </c>
      <c r="F431">
        <f>F124</f>
        <v>111260</v>
      </c>
      <c r="G431" s="99">
        <f>G124</f>
        <v>130174</v>
      </c>
      <c r="H431" s="92">
        <f>SUM(H428:H430)</f>
        <v>114155</v>
      </c>
      <c r="I431" s="92">
        <f>SUM(I428:I430)</f>
        <v>125467</v>
      </c>
      <c r="J431" s="92">
        <f>SUM(J428:J430)</f>
        <v>123482.4</v>
      </c>
      <c r="K431" s="92">
        <f>SUM(K428:K430)</f>
        <v>121669.79999999999</v>
      </c>
      <c r="L431" s="92">
        <f>SUM(L428:L430)</f>
        <v>119628.19999999998</v>
      </c>
    </row>
    <row r="433" spans="2:12" x14ac:dyDescent="0.25">
      <c r="B433" t="s">
        <v>140</v>
      </c>
      <c r="C433" s="38"/>
      <c r="D433" s="38"/>
      <c r="E433" s="38"/>
      <c r="F433" s="102">
        <f>F428*F438</f>
        <v>8697.6720000000005</v>
      </c>
      <c r="G433" s="111">
        <f>G428*G438</f>
        <v>7454.42</v>
      </c>
      <c r="H433" s="102">
        <f>H428*H438</f>
        <v>8721.6580000000013</v>
      </c>
      <c r="I433" s="102">
        <f t="shared" ref="I433:L433" si="274">I428*I438</f>
        <v>7648.3850000000002</v>
      </c>
      <c r="J433" s="102">
        <f t="shared" si="274"/>
        <v>8406.2890000000007</v>
      </c>
      <c r="K433" s="102">
        <f t="shared" si="274"/>
        <v>8273.3207999999995</v>
      </c>
      <c r="L433" s="102">
        <f t="shared" si="274"/>
        <v>8151.8765999999996</v>
      </c>
    </row>
    <row r="434" spans="2:12" x14ac:dyDescent="0.25">
      <c r="B434" t="s">
        <v>218</v>
      </c>
      <c r="C434" s="38"/>
      <c r="D434" s="38"/>
      <c r="E434" s="38"/>
      <c r="F434" s="112">
        <f>F435-F433</f>
        <v>6670.3279999999995</v>
      </c>
      <c r="G434" s="113">
        <f>G435-G433</f>
        <v>7379.58</v>
      </c>
      <c r="H434" s="102">
        <f>H435-H433</f>
        <v>7297.3419999999987</v>
      </c>
      <c r="I434" s="102">
        <f t="shared" ref="I434:L434" si="275">I435-I433</f>
        <v>7153.6149999999998</v>
      </c>
      <c r="J434" s="102">
        <f t="shared" si="275"/>
        <v>3349.7109999999993</v>
      </c>
      <c r="K434" s="102">
        <f t="shared" si="275"/>
        <v>3310.6792000000005</v>
      </c>
      <c r="L434" s="102">
        <f t="shared" si="275"/>
        <v>3661.1234000000004</v>
      </c>
    </row>
    <row r="435" spans="2:12" x14ac:dyDescent="0.25">
      <c r="B435" t="s">
        <v>217</v>
      </c>
      <c r="C435" s="178"/>
      <c r="D435" s="178"/>
      <c r="E435" s="178"/>
      <c r="F435" s="106">
        <v>15368</v>
      </c>
      <c r="G435" s="110">
        <v>14834</v>
      </c>
      <c r="H435" s="106">
        <v>16019</v>
      </c>
      <c r="I435" s="108">
        <v>14802</v>
      </c>
      <c r="J435" s="108">
        <v>11756</v>
      </c>
      <c r="K435" s="108">
        <v>11584</v>
      </c>
      <c r="L435" s="108">
        <v>11813</v>
      </c>
    </row>
    <row r="437" spans="2:12" x14ac:dyDescent="0.25">
      <c r="B437" s="37" t="s">
        <v>144</v>
      </c>
    </row>
    <row r="438" spans="2:12" x14ac:dyDescent="0.25">
      <c r="B438" t="s">
        <v>216</v>
      </c>
      <c r="E438" s="69">
        <v>6.7000000000000004E-2</v>
      </c>
      <c r="F438" s="69">
        <v>6.7000000000000004E-2</v>
      </c>
      <c r="G438" s="116">
        <v>6.7000000000000004E-2</v>
      </c>
      <c r="H438" s="69">
        <v>6.7000000000000004E-2</v>
      </c>
      <c r="I438" s="68">
        <f>H438</f>
        <v>6.7000000000000004E-2</v>
      </c>
      <c r="J438" s="68">
        <f t="shared" ref="J438:L438" si="276">I438</f>
        <v>6.7000000000000004E-2</v>
      </c>
      <c r="K438" s="68">
        <f t="shared" si="276"/>
        <v>6.7000000000000004E-2</v>
      </c>
      <c r="L438" s="68">
        <f t="shared" si="276"/>
        <v>6.7000000000000004E-2</v>
      </c>
    </row>
    <row r="439" spans="2:12" x14ac:dyDescent="0.25">
      <c r="B439" t="s">
        <v>219</v>
      </c>
      <c r="F439" s="80">
        <f>F434/F428</f>
        <v>5.138294201022986E-2</v>
      </c>
      <c r="G439" s="67">
        <f>G434/G428</f>
        <v>6.6327341362574149E-2</v>
      </c>
      <c r="H439" s="66">
        <f>H434/H428</f>
        <v>5.6058368030482267E-2</v>
      </c>
      <c r="I439" s="66">
        <f>I434/I428</f>
        <v>6.2665805264771585E-2</v>
      </c>
      <c r="J439" s="103">
        <f>AVERAGE(F439:I439)</f>
        <v>5.9108614167014469E-2</v>
      </c>
      <c r="K439" s="68">
        <f>J439</f>
        <v>5.9108614167014469E-2</v>
      </c>
      <c r="L439" s="68">
        <f>K439</f>
        <v>5.9108614167014469E-2</v>
      </c>
    </row>
    <row r="441" spans="2:12" x14ac:dyDescent="0.25">
      <c r="B441" t="s">
        <v>220</v>
      </c>
      <c r="C441" s="38"/>
      <c r="D441" s="31"/>
      <c r="E441" s="31"/>
      <c r="F441" s="31"/>
      <c r="G441" s="32"/>
      <c r="H441" s="15">
        <f>G109</f>
        <v>113479</v>
      </c>
      <c r="I441" s="15">
        <f t="shared" ref="I441:L441" si="277">H444</f>
        <v>97460</v>
      </c>
      <c r="J441" s="15">
        <f t="shared" si="277"/>
        <v>108772</v>
      </c>
      <c r="K441" s="15">
        <f t="shared" si="277"/>
        <v>106787.4</v>
      </c>
      <c r="L441" s="15">
        <f t="shared" si="277"/>
        <v>104974.79999999999</v>
      </c>
    </row>
    <row r="442" spans="2:12" x14ac:dyDescent="0.25">
      <c r="B442" t="s">
        <v>221</v>
      </c>
      <c r="C442" s="38"/>
      <c r="D442" s="38"/>
      <c r="E442" s="38"/>
      <c r="F442" s="38"/>
      <c r="G442" s="72"/>
      <c r="H442">
        <f>H429</f>
        <v>0</v>
      </c>
      <c r="I442">
        <f>I429</f>
        <v>26114</v>
      </c>
      <c r="J442">
        <f>J429</f>
        <v>9771.4</v>
      </c>
      <c r="K442">
        <f>K429</f>
        <v>9771.4</v>
      </c>
      <c r="L442">
        <f>L429</f>
        <v>9771.4</v>
      </c>
    </row>
    <row r="443" spans="2:12" x14ac:dyDescent="0.25">
      <c r="B443" t="s">
        <v>222</v>
      </c>
      <c r="C443" s="38"/>
      <c r="D443" s="38"/>
      <c r="E443" s="38"/>
      <c r="F443" s="38"/>
      <c r="G443" s="72"/>
      <c r="H443" s="117">
        <f>-H435</f>
        <v>-16019</v>
      </c>
      <c r="I443" s="118">
        <f>-I435</f>
        <v>-14802</v>
      </c>
      <c r="J443" s="118">
        <f>-J435</f>
        <v>-11756</v>
      </c>
      <c r="K443" s="118">
        <f>-K435</f>
        <v>-11584</v>
      </c>
      <c r="L443" s="118">
        <f>-L435</f>
        <v>-11813</v>
      </c>
    </row>
    <row r="444" spans="2:12" x14ac:dyDescent="0.25">
      <c r="B444" t="s">
        <v>223</v>
      </c>
      <c r="C444" s="31"/>
      <c r="D444" s="31"/>
      <c r="E444" s="31"/>
      <c r="F444" s="31"/>
      <c r="G444" s="32"/>
      <c r="H444" s="15">
        <f>SUM(H441:H443)</f>
        <v>97460</v>
      </c>
      <c r="I444" s="15">
        <f t="shared" ref="I444:L444" si="278">SUM(I441:I443)</f>
        <v>108772</v>
      </c>
      <c r="J444" s="15">
        <f t="shared" si="278"/>
        <v>106787.4</v>
      </c>
      <c r="K444" s="15">
        <f t="shared" si="278"/>
        <v>104974.79999999999</v>
      </c>
      <c r="L444" s="15">
        <f t="shared" si="278"/>
        <v>102933.19999999998</v>
      </c>
    </row>
    <row r="446" spans="2:12" x14ac:dyDescent="0.25">
      <c r="C446" s="136" t="s">
        <v>249</v>
      </c>
      <c r="D446" s="134"/>
      <c r="E446" s="134"/>
      <c r="F446" s="134"/>
      <c r="G446" s="135"/>
      <c r="H446" s="134"/>
      <c r="I446" s="134"/>
      <c r="J446" s="134"/>
      <c r="K446" s="134"/>
      <c r="L446" s="134"/>
    </row>
    <row r="447" spans="2:12" x14ac:dyDescent="0.25">
      <c r="C447" s="23">
        <f t="shared" ref="C447:L447" si="279">C427</f>
        <v>2021</v>
      </c>
      <c r="D447" s="23">
        <f t="shared" si="279"/>
        <v>2022</v>
      </c>
      <c r="E447" s="23">
        <f t="shared" si="279"/>
        <v>2023</v>
      </c>
      <c r="F447" s="23">
        <f t="shared" si="279"/>
        <v>2024</v>
      </c>
      <c r="G447" s="27">
        <f t="shared" si="279"/>
        <v>2025</v>
      </c>
      <c r="H447" s="24">
        <f t="shared" si="279"/>
        <v>2026</v>
      </c>
      <c r="I447" s="24">
        <f t="shared" si="279"/>
        <v>2027</v>
      </c>
      <c r="J447" s="24">
        <f t="shared" si="279"/>
        <v>2028</v>
      </c>
      <c r="K447" s="24">
        <f t="shared" si="279"/>
        <v>2029</v>
      </c>
      <c r="L447" s="24">
        <f t="shared" si="279"/>
        <v>2030</v>
      </c>
    </row>
    <row r="448" spans="2:12" x14ac:dyDescent="0.25">
      <c r="B448" t="s">
        <v>245</v>
      </c>
      <c r="C448" s="77"/>
      <c r="E448" s="77">
        <v>30905</v>
      </c>
      <c r="F448" s="77">
        <f>E451</f>
        <v>30977</v>
      </c>
      <c r="G448" s="146">
        <f>F451</f>
        <v>30636</v>
      </c>
      <c r="H448" s="77">
        <f>G451</f>
        <v>30745.832999999999</v>
      </c>
      <c r="I448" s="77">
        <f t="shared" ref="I448:L448" si="280">H451</f>
        <v>30692.832999999999</v>
      </c>
      <c r="J448" s="77">
        <f t="shared" si="280"/>
        <v>30639.832999999999</v>
      </c>
      <c r="K448" s="77">
        <f t="shared" si="280"/>
        <v>30586.832999999999</v>
      </c>
      <c r="L448" s="77">
        <f t="shared" si="280"/>
        <v>30533.832999999999</v>
      </c>
    </row>
    <row r="449" spans="2:12" ht="14.4" x14ac:dyDescent="0.3">
      <c r="B449" s="144" t="s">
        <v>246</v>
      </c>
      <c r="E449">
        <v>244</v>
      </c>
      <c r="F449">
        <v>639</v>
      </c>
      <c r="G449" s="13">
        <v>182</v>
      </c>
      <c r="H449" s="38">
        <f>AVERAGE(E449:G449)</f>
        <v>355</v>
      </c>
      <c r="I449">
        <f>H449</f>
        <v>355</v>
      </c>
      <c r="J449">
        <f t="shared" ref="J449:L449" si="281">I449</f>
        <v>355</v>
      </c>
      <c r="K449">
        <f t="shared" si="281"/>
        <v>355</v>
      </c>
      <c r="L449">
        <f t="shared" si="281"/>
        <v>355</v>
      </c>
    </row>
    <row r="450" spans="2:12" x14ac:dyDescent="0.25">
      <c r="B450" t="s">
        <v>247</v>
      </c>
      <c r="C450" s="25"/>
      <c r="D450" s="25"/>
      <c r="E450" s="25">
        <v>-172</v>
      </c>
      <c r="F450" s="25">
        <v>-980</v>
      </c>
      <c r="G450" s="26">
        <v>-72</v>
      </c>
      <c r="H450" s="73">
        <f>AVERAGE(E450:G450)</f>
        <v>-408</v>
      </c>
      <c r="I450" s="25">
        <f>H450</f>
        <v>-408</v>
      </c>
      <c r="J450" s="25">
        <f t="shared" ref="J450:L450" si="282">I450</f>
        <v>-408</v>
      </c>
      <c r="K450" s="25">
        <f t="shared" si="282"/>
        <v>-408</v>
      </c>
      <c r="L450" s="25">
        <f t="shared" si="282"/>
        <v>-408</v>
      </c>
    </row>
    <row r="451" spans="2:12" x14ac:dyDescent="0.25">
      <c r="B451" t="s">
        <v>248</v>
      </c>
      <c r="E451" s="77">
        <f>SUM(E448:E450)</f>
        <v>30977</v>
      </c>
      <c r="F451" s="77">
        <f>SUM(F448:F450)</f>
        <v>30636</v>
      </c>
      <c r="G451" s="146">
        <v>30745.832999999999</v>
      </c>
      <c r="H451" s="77">
        <f>SUM(H448:H450)</f>
        <v>30692.832999999999</v>
      </c>
      <c r="I451" s="77">
        <f>SUM(I448:I450)</f>
        <v>30639.832999999999</v>
      </c>
      <c r="J451" s="77">
        <f t="shared" ref="J451:L451" si="283">SUM(J448:J450)</f>
        <v>30586.832999999999</v>
      </c>
      <c r="K451" s="77">
        <f t="shared" si="283"/>
        <v>30533.832999999999</v>
      </c>
      <c r="L451" s="77">
        <f t="shared" si="283"/>
        <v>30480.832999999999</v>
      </c>
    </row>
    <row r="452" spans="2:12" x14ac:dyDescent="0.25">
      <c r="B452" t="s">
        <v>371</v>
      </c>
      <c r="E452" s="238">
        <f t="shared" ref="E452:L452" si="284">E21/E451</f>
        <v>3.5253575233237564</v>
      </c>
      <c r="F452" s="238">
        <f t="shared" si="284"/>
        <v>4.5330656743700226</v>
      </c>
      <c r="G452" s="239">
        <f t="shared" si="284"/>
        <v>4.8099851449788336</v>
      </c>
      <c r="H452" s="238">
        <f t="shared" ca="1" si="284"/>
        <v>4.9151097930679057</v>
      </c>
      <c r="I452" s="238">
        <f t="shared" ca="1" si="284"/>
        <v>5.2590317222262595</v>
      </c>
      <c r="J452" s="238">
        <f t="shared" ca="1" si="284"/>
        <v>5.6023583115078424</v>
      </c>
      <c r="K452" s="238">
        <f t="shared" ca="1" si="284"/>
        <v>5.9172631331515175</v>
      </c>
      <c r="L452" s="238">
        <f t="shared" ca="1" si="284"/>
        <v>6.3938522729560381</v>
      </c>
    </row>
    <row r="1048576" spans="16384:16384" x14ac:dyDescent="0.25">
      <c r="XFD1048576" s="307" t="s">
        <v>459</v>
      </c>
    </row>
  </sheetData>
  <dataConsolidate/>
  <dataValidations disablePrompts="1" count="1">
    <dataValidation type="list" allowBlank="1" showInputMessage="1" showErrorMessage="1" sqref="N4" xr:uid="{F8A127E7-47A9-488D-8A15-4F5968DF947A}">
      <formula1>$B$265:$B$267</formula1>
    </dataValidation>
  </dataValidations>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6DE6-1D84-4172-B4BF-6BFB37119185}">
  <sheetPr codeName="Sheet6"/>
  <dimension ref="A1:XFD1048576"/>
  <sheetViews>
    <sheetView showGridLines="0" zoomScale="63" zoomScaleNormal="72" workbookViewId="0"/>
  </sheetViews>
  <sheetFormatPr defaultRowHeight="13.2" x14ac:dyDescent="0.25"/>
  <cols>
    <col min="1" max="2" width="30.77734375" customWidth="1"/>
    <col min="3" max="3" width="21" bestFit="1" customWidth="1"/>
    <col min="4" max="4" width="14.77734375" customWidth="1"/>
    <col min="5" max="5" width="21" bestFit="1" customWidth="1"/>
    <col min="6" max="6" width="12.109375" bestFit="1" customWidth="1"/>
    <col min="7" max="7" width="33.21875" bestFit="1" customWidth="1"/>
    <col min="8" max="8" width="21" bestFit="1" customWidth="1"/>
    <col min="9" max="9" width="11.109375" bestFit="1" customWidth="1"/>
    <col min="10" max="10" width="36.33203125" bestFit="1" customWidth="1"/>
    <col min="11" max="11" width="15.77734375" customWidth="1"/>
    <col min="12" max="13" width="9.109375" bestFit="1" customWidth="1"/>
    <col min="14" max="14" width="11.21875" customWidth="1"/>
    <col min="15" max="16" width="9.5546875" bestFit="1" customWidth="1"/>
    <col min="19" max="19" width="36.33203125" bestFit="1" customWidth="1"/>
    <col min="20" max="20" width="11.109375" bestFit="1" customWidth="1"/>
  </cols>
  <sheetData>
    <row r="1" spans="2:20" ht="49.95" customHeight="1" x14ac:dyDescent="0.25">
      <c r="B1" s="142" t="e" vm="1">
        <v>#VALUE!</v>
      </c>
      <c r="C1" s="142"/>
    </row>
    <row r="2" spans="2:20" x14ac:dyDescent="0.25">
      <c r="B2" t="str">
        <f>"Financial Model for"&amp;" "&amp;C4</f>
        <v>Financial Model for Price Smart</v>
      </c>
    </row>
    <row r="3" spans="2:20" x14ac:dyDescent="0.25">
      <c r="B3" t="s">
        <v>243</v>
      </c>
      <c r="C3" s="21">
        <f ca="1">TODAY()</f>
        <v>46259</v>
      </c>
      <c r="D3" s="191"/>
    </row>
    <row r="4" spans="2:20" x14ac:dyDescent="0.25">
      <c r="B4" t="s">
        <v>241</v>
      </c>
      <c r="C4" t="s">
        <v>242</v>
      </c>
    </row>
    <row r="5" spans="2:20" x14ac:dyDescent="0.25">
      <c r="B5" t="s">
        <v>260</v>
      </c>
      <c r="C5" s="150">
        <v>169.46</v>
      </c>
    </row>
    <row r="6" spans="2:20" x14ac:dyDescent="0.25">
      <c r="C6" s="192"/>
    </row>
    <row r="7" spans="2:20" x14ac:dyDescent="0.25">
      <c r="B7" s="148" t="s">
        <v>297</v>
      </c>
      <c r="C7" s="137" t="s">
        <v>236</v>
      </c>
      <c r="D7" s="137"/>
      <c r="E7" s="138"/>
      <c r="F7" s="138"/>
      <c r="G7" s="138"/>
      <c r="H7" s="138"/>
      <c r="J7" s="137" t="s">
        <v>216</v>
      </c>
      <c r="K7" s="137"/>
      <c r="M7" s="137" t="s">
        <v>266</v>
      </c>
      <c r="N7" s="137"/>
      <c r="O7" s="137"/>
      <c r="P7" s="137"/>
      <c r="S7" s="137" t="s">
        <v>216</v>
      </c>
      <c r="T7" s="137"/>
    </row>
    <row r="8" spans="2:20" x14ac:dyDescent="0.25">
      <c r="D8" s="24">
        <f>Model!H7</f>
        <v>2026</v>
      </c>
      <c r="E8" s="24">
        <f>Model!I7</f>
        <v>2027</v>
      </c>
      <c r="F8" s="24">
        <f>Model!J7</f>
        <v>2028</v>
      </c>
      <c r="G8" s="24">
        <f>Model!K7</f>
        <v>2029</v>
      </c>
      <c r="H8" s="24">
        <f>Model!L7</f>
        <v>2030</v>
      </c>
      <c r="J8" s="29" t="s">
        <v>251</v>
      </c>
      <c r="K8" s="181">
        <f>K29*K15+K28*K22*(1-K13)</f>
        <v>7.7574725356189034E-2</v>
      </c>
      <c r="M8" t="s">
        <v>267</v>
      </c>
      <c r="N8" s="41">
        <v>0.03</v>
      </c>
      <c r="S8" s="29" t="s">
        <v>251</v>
      </c>
      <c r="T8" s="181">
        <v>7.8541077329148765E-2</v>
      </c>
    </row>
    <row r="9" spans="2:20" x14ac:dyDescent="0.25">
      <c r="B9" t="s">
        <v>138</v>
      </c>
      <c r="D9" s="15">
        <f>Model!H12</f>
        <v>332121.26167170354</v>
      </c>
      <c r="E9" s="15">
        <f>Model!I12</f>
        <v>364581.63038873672</v>
      </c>
      <c r="F9" s="15">
        <f>Model!J12</f>
        <v>335796.46841610328</v>
      </c>
      <c r="G9" s="15">
        <f>Model!K12</f>
        <v>363970.87958228285</v>
      </c>
      <c r="H9" s="15">
        <f>Model!L12</f>
        <v>369373.0438903349</v>
      </c>
      <c r="M9" t="s">
        <v>268</v>
      </c>
      <c r="N9" s="15">
        <f>H15*(1+N8)/(K8-N8)</f>
        <v>3290755.8575931941</v>
      </c>
    </row>
    <row r="10" spans="2:20" x14ac:dyDescent="0.25">
      <c r="B10" t="s">
        <v>139</v>
      </c>
      <c r="D10" s="15">
        <f>Model!H14</f>
        <v>243888.08527415839</v>
      </c>
      <c r="E10" s="15">
        <f>Model!I14</f>
        <v>258859.45795173122</v>
      </c>
      <c r="F10" s="15">
        <f>Model!J14</f>
        <v>272648.50861600781</v>
      </c>
      <c r="G10" s="15">
        <f>Model!K14</f>
        <v>284855.88920141489</v>
      </c>
      <c r="H10" s="15">
        <f>Model!L14</f>
        <v>303942.13590220769</v>
      </c>
      <c r="J10" t="s">
        <v>253</v>
      </c>
      <c r="K10" s="44">
        <v>0</v>
      </c>
      <c r="S10" t="s">
        <v>253</v>
      </c>
      <c r="T10" s="44">
        <v>0</v>
      </c>
    </row>
    <row r="11" spans="2:20" x14ac:dyDescent="0.25">
      <c r="B11" s="18" t="s">
        <v>238</v>
      </c>
      <c r="D11" s="15">
        <f>D10*-$K$13</f>
        <v>-78691.046524307443</v>
      </c>
      <c r="E11" s="15">
        <f t="shared" ref="E11:H11" si="0">E10*-$K$13</f>
        <v>-83521.594037849543</v>
      </c>
      <c r="F11" s="15">
        <f t="shared" si="0"/>
        <v>-87970.662659339883</v>
      </c>
      <c r="G11" s="15">
        <f t="shared" si="0"/>
        <v>-91909.401825323977</v>
      </c>
      <c r="H11" s="15">
        <f t="shared" si="0"/>
        <v>-98067.622820081349</v>
      </c>
      <c r="J11" t="s">
        <v>254</v>
      </c>
      <c r="K11" s="44">
        <v>0</v>
      </c>
      <c r="N11" s="180" t="s">
        <v>287</v>
      </c>
      <c r="O11" s="180" t="s">
        <v>288</v>
      </c>
      <c r="P11" s="180" t="s">
        <v>286</v>
      </c>
      <c r="S11" t="s">
        <v>254</v>
      </c>
      <c r="T11" s="44">
        <v>0</v>
      </c>
    </row>
    <row r="12" spans="2:20" x14ac:dyDescent="0.25">
      <c r="B12" s="18" t="s">
        <v>237</v>
      </c>
      <c r="D12" s="15">
        <f>-Model!H13</f>
        <v>88233.176397545161</v>
      </c>
      <c r="E12" s="15">
        <f>-Model!I13</f>
        <v>105722.17243700549</v>
      </c>
      <c r="F12" s="15">
        <f>-Model!J13</f>
        <v>63147.959800095479</v>
      </c>
      <c r="G12" s="15">
        <f>-Model!K13</f>
        <v>79114.990380867966</v>
      </c>
      <c r="H12" s="15">
        <f>-Model!L13</f>
        <v>65430.907988127234</v>
      </c>
      <c r="J12" t="s">
        <v>255</v>
      </c>
      <c r="K12" s="15">
        <f>Model!G103+Model!H105</f>
        <v>314210</v>
      </c>
      <c r="M12" s="29" t="s">
        <v>290</v>
      </c>
      <c r="N12" s="185">
        <f>_xlfn.QUARTILE.EXC(COMPS!C4:C11,1)</f>
        <v>6.6</v>
      </c>
      <c r="O12" s="185">
        <f>COMPS!C16</f>
        <v>15.238571428571429</v>
      </c>
      <c r="P12" s="185">
        <f>_xlfn.QUARTILE.EXC(COMPS!C4:C11,3)</f>
        <v>23.8</v>
      </c>
      <c r="S12" t="s">
        <v>255</v>
      </c>
      <c r="T12" s="15">
        <v>314210</v>
      </c>
    </row>
    <row r="13" spans="2:20" x14ac:dyDescent="0.25">
      <c r="B13" s="18" t="s">
        <v>275</v>
      </c>
      <c r="D13" s="15">
        <f>Model!H361</f>
        <v>-25897.285153403529</v>
      </c>
      <c r="E13" s="15">
        <f>Model!I361</f>
        <v>-6167.9120482632425</v>
      </c>
      <c r="F13" s="15">
        <f>Model!J361</f>
        <v>-4197.3384254332632</v>
      </c>
      <c r="G13" s="15">
        <f>Model!K361</f>
        <v>-5584.4308394730324</v>
      </c>
      <c r="H13" s="15">
        <f>Model!L361</f>
        <v>-4557.706429726677</v>
      </c>
      <c r="J13" t="s">
        <v>244</v>
      </c>
      <c r="K13" s="147">
        <f>Model!H34</f>
        <v>0.32265227895757848</v>
      </c>
      <c r="M13" t="s">
        <v>296</v>
      </c>
      <c r="N13" s="185">
        <f>_xlfn.QUARTILE.EXC(COMPS!D4:D11,1)</f>
        <v>13.46</v>
      </c>
      <c r="O13" s="185">
        <f>COMPS!D16</f>
        <v>28.930000000000003</v>
      </c>
      <c r="P13" s="185">
        <f>_xlfn.QUARTILE.EXC(COMPS!D4:D11,3)</f>
        <v>42.31</v>
      </c>
      <c r="S13" t="s">
        <v>244</v>
      </c>
      <c r="T13" s="147">
        <v>0.28386231343644974</v>
      </c>
    </row>
    <row r="14" spans="2:20" x14ac:dyDescent="0.25">
      <c r="B14" s="18" t="s">
        <v>239</v>
      </c>
      <c r="C14" s="25"/>
      <c r="D14" s="17">
        <f>-Model!H377</f>
        <v>-154740.76785714284</v>
      </c>
      <c r="E14" s="17">
        <f>-Model!I377</f>
        <v>-185412.45833333331</v>
      </c>
      <c r="F14" s="17">
        <f>-Model!J377</f>
        <v>-110747.04761904762</v>
      </c>
      <c r="G14" s="17">
        <f>-Model!K377</f>
        <v>-138749.55952380953</v>
      </c>
      <c r="H14" s="17">
        <f>-Model!L377</f>
        <v>-114750.81547619047</v>
      </c>
      <c r="M14" t="s">
        <v>295</v>
      </c>
      <c r="N14" s="185">
        <f>_xlfn.QUARTILE.EXC(COMPS!E4:E11,1)</f>
        <v>9.2100000000000009</v>
      </c>
      <c r="O14" s="185">
        <f>COMPS!E16</f>
        <v>21.042857142857144</v>
      </c>
      <c r="P14" s="185">
        <f>_xlfn.QUARTILE.EXC(COMPS!E4:E11,3)</f>
        <v>31.73</v>
      </c>
    </row>
    <row r="15" spans="2:20" x14ac:dyDescent="0.25">
      <c r="B15" s="29" t="s">
        <v>240</v>
      </c>
      <c r="D15" s="15">
        <f>SUM(D10:D14)</f>
        <v>72792.162136849714</v>
      </c>
      <c r="E15" s="15">
        <f t="shared" ref="E15:H15" si="1">SUM(E10:E14)</f>
        <v>89479.665969290596</v>
      </c>
      <c r="F15" s="15">
        <f t="shared" si="1"/>
        <v>132881.41971228248</v>
      </c>
      <c r="G15" s="15">
        <f t="shared" si="1"/>
        <v>127727.4873936763</v>
      </c>
      <c r="H15" s="15">
        <f t="shared" si="1"/>
        <v>151996.89916433644</v>
      </c>
      <c r="J15" s="29" t="s">
        <v>257</v>
      </c>
      <c r="K15" s="68">
        <f>K16+K20*K18</f>
        <v>7.9374E-2</v>
      </c>
      <c r="S15" s="29" t="s">
        <v>257</v>
      </c>
      <c r="T15" s="68">
        <v>7.9374E-2</v>
      </c>
    </row>
    <row r="16" spans="2:20" x14ac:dyDescent="0.25">
      <c r="B16" t="str">
        <f>"TV"&amp;" "&amp;M9</f>
        <v>TV GGM</v>
      </c>
      <c r="D16" s="15">
        <v>0</v>
      </c>
      <c r="E16" s="15">
        <v>0</v>
      </c>
      <c r="F16" s="15">
        <v>0</v>
      </c>
      <c r="G16" s="15">
        <v>0</v>
      </c>
      <c r="H16" s="15">
        <f>N9</f>
        <v>3290755.8575931941</v>
      </c>
      <c r="J16" t="s">
        <v>258</v>
      </c>
      <c r="K16" s="69">
        <v>4.3799999999999999E-2</v>
      </c>
      <c r="S16" t="s">
        <v>258</v>
      </c>
      <c r="T16" s="69">
        <v>4.3799999999999999E-2</v>
      </c>
    </row>
    <row r="17" spans="1:20" x14ac:dyDescent="0.25">
      <c r="B17" s="29" t="s">
        <v>288</v>
      </c>
      <c r="D17" s="15"/>
      <c r="E17" s="15"/>
      <c r="F17" s="15"/>
      <c r="G17" s="15"/>
      <c r="H17" s="15"/>
      <c r="K17" s="69"/>
      <c r="T17" s="69"/>
    </row>
    <row r="18" spans="1:20" x14ac:dyDescent="0.25">
      <c r="B18" t="str">
        <f>"TV Exit Multiple "&amp;M12</f>
        <v>TV Exit Multiple NTM EV/EBITDA</v>
      </c>
      <c r="D18" s="15">
        <v>0</v>
      </c>
      <c r="E18" s="15">
        <v>0</v>
      </c>
      <c r="F18" s="15">
        <v>0</v>
      </c>
      <c r="G18" s="15">
        <v>0</v>
      </c>
      <c r="H18" s="15">
        <f>O12*H9</f>
        <v>5628717.513111718</v>
      </c>
      <c r="J18" t="s">
        <v>312</v>
      </c>
      <c r="K18" s="68">
        <f>K19-K16</f>
        <v>4.6199999999999998E-2</v>
      </c>
      <c r="S18" t="s">
        <v>312</v>
      </c>
      <c r="T18" s="68">
        <v>4.6199999999999998E-2</v>
      </c>
    </row>
    <row r="19" spans="1:20" x14ac:dyDescent="0.25">
      <c r="B19" t="str">
        <f>"TV Exit Multiple "&amp;M13</f>
        <v>TV Exit Multiple NTM P/E</v>
      </c>
      <c r="D19" s="15">
        <v>0</v>
      </c>
      <c r="E19" s="15">
        <v>0</v>
      </c>
      <c r="F19" s="15">
        <v>0</v>
      </c>
      <c r="G19" s="15">
        <v>0</v>
      </c>
      <c r="H19" s="15">
        <f ca="1">Model!L21*O13</f>
        <v>5638166.061365555</v>
      </c>
      <c r="J19" t="s">
        <v>259</v>
      </c>
      <c r="K19" s="69">
        <v>0.09</v>
      </c>
      <c r="S19" t="s">
        <v>259</v>
      </c>
      <c r="T19" s="69">
        <v>0.09</v>
      </c>
    </row>
    <row r="20" spans="1:20" x14ac:dyDescent="0.25">
      <c r="B20" t="str">
        <f>"TV Exit Multiple "&amp;M14</f>
        <v>TV Exit Multiple NTM EV/EBIT</v>
      </c>
      <c r="D20" s="15">
        <v>0</v>
      </c>
      <c r="E20" s="15">
        <v>0</v>
      </c>
      <c r="F20" s="15">
        <v>0</v>
      </c>
      <c r="G20" s="15">
        <v>0</v>
      </c>
      <c r="H20" s="15">
        <f>O14*H10</f>
        <v>6395810.9454850284</v>
      </c>
      <c r="J20" t="s">
        <v>250</v>
      </c>
      <c r="K20" s="44">
        <f>COMPS!$F$11</f>
        <v>0.77</v>
      </c>
      <c r="S20" t="s">
        <v>250</v>
      </c>
      <c r="T20" s="44">
        <v>0.77</v>
      </c>
    </row>
    <row r="21" spans="1:20" x14ac:dyDescent="0.25">
      <c r="B21" s="29" t="s">
        <v>286</v>
      </c>
    </row>
    <row r="22" spans="1:20" x14ac:dyDescent="0.25">
      <c r="B22" t="str">
        <f t="shared" ref="B22:B28" si="2">B18</f>
        <v>TV Exit Multiple NTM EV/EBITDA</v>
      </c>
      <c r="D22" s="15">
        <v>0</v>
      </c>
      <c r="E22" s="15">
        <v>0</v>
      </c>
      <c r="F22" s="15">
        <v>0</v>
      </c>
      <c r="G22" s="15">
        <v>0</v>
      </c>
      <c r="H22" s="15">
        <f>P12*H9</f>
        <v>8791078.4445899706</v>
      </c>
      <c r="J22" s="29" t="s">
        <v>256</v>
      </c>
      <c r="K22" s="68">
        <f>Model!$H$332</f>
        <v>7.3140557983310275E-2</v>
      </c>
      <c r="S22" s="29" t="s">
        <v>256</v>
      </c>
      <c r="T22" s="68">
        <v>7.5080866973647131E-2</v>
      </c>
    </row>
    <row r="23" spans="1:20" x14ac:dyDescent="0.25">
      <c r="B23" t="str">
        <f t="shared" si="2"/>
        <v>TV Exit Multiple NTM P/E</v>
      </c>
      <c r="D23" s="15">
        <v>0</v>
      </c>
      <c r="E23" s="15">
        <v>0</v>
      </c>
      <c r="F23" s="15">
        <v>0</v>
      </c>
      <c r="G23" s="15">
        <v>0</v>
      </c>
      <c r="H23" s="15">
        <f ca="1">Model!L21*P13</f>
        <v>8245793.5035042036</v>
      </c>
    </row>
    <row r="24" spans="1:20" x14ac:dyDescent="0.25">
      <c r="B24" t="str">
        <f t="shared" si="2"/>
        <v>TV Exit Multiple NTM EV/EBIT</v>
      </c>
      <c r="D24" s="15">
        <v>0</v>
      </c>
      <c r="E24" s="15">
        <v>0</v>
      </c>
      <c r="F24" s="15">
        <v>0</v>
      </c>
      <c r="G24" s="15">
        <v>0</v>
      </c>
      <c r="H24" s="15">
        <f>P14*H10</f>
        <v>9644083.972177051</v>
      </c>
      <c r="J24" t="s">
        <v>272</v>
      </c>
      <c r="K24" s="15">
        <f>Model!G451</f>
        <v>30745.832999999999</v>
      </c>
      <c r="S24" t="s">
        <v>272</v>
      </c>
      <c r="T24" s="15">
        <v>30745.832999999999</v>
      </c>
    </row>
    <row r="25" spans="1:20" x14ac:dyDescent="0.25">
      <c r="B25" s="29" t="s">
        <v>287</v>
      </c>
      <c r="J25" t="s">
        <v>252</v>
      </c>
      <c r="K25" s="170">
        <f>334410</f>
        <v>334410</v>
      </c>
      <c r="S25" t="s">
        <v>252</v>
      </c>
      <c r="T25" s="15">
        <v>198883</v>
      </c>
    </row>
    <row r="26" spans="1:20" x14ac:dyDescent="0.25">
      <c r="B26" t="str">
        <f t="shared" si="2"/>
        <v>TV Exit Multiple NTM EV/EBITDA</v>
      </c>
      <c r="D26">
        <v>0</v>
      </c>
      <c r="E26">
        <v>0</v>
      </c>
      <c r="F26">
        <v>0</v>
      </c>
      <c r="G26">
        <v>0</v>
      </c>
      <c r="H26" s="15">
        <f>N12*H9</f>
        <v>2437862.0896762102</v>
      </c>
      <c r="J26" t="s">
        <v>261</v>
      </c>
      <c r="K26" s="170">
        <f>K24*C5</f>
        <v>5210188.8601799998</v>
      </c>
      <c r="S26" t="s">
        <v>261</v>
      </c>
      <c r="T26" s="170">
        <v>5915190.8108699992</v>
      </c>
    </row>
    <row r="27" spans="1:20" x14ac:dyDescent="0.25">
      <c r="B27" t="str">
        <f t="shared" si="2"/>
        <v>TV Exit Multiple NTM P/E</v>
      </c>
      <c r="D27">
        <v>0</v>
      </c>
      <c r="E27">
        <v>0</v>
      </c>
      <c r="F27">
        <v>0</v>
      </c>
      <c r="G27">
        <v>0</v>
      </c>
      <c r="H27" s="15">
        <f ca="1">Model!L21*N13</f>
        <v>2623218.6376073407</v>
      </c>
      <c r="J27" t="s">
        <v>264</v>
      </c>
      <c r="K27" s="170">
        <f>K26+K25</f>
        <v>5544598.8601799998</v>
      </c>
      <c r="S27" t="s">
        <v>264</v>
      </c>
      <c r="T27" s="170">
        <v>6114073.8108699992</v>
      </c>
    </row>
    <row r="28" spans="1:20" x14ac:dyDescent="0.25">
      <c r="B28" t="str">
        <f t="shared" si="2"/>
        <v>TV Exit Multiple NTM EV/EBIT</v>
      </c>
      <c r="D28">
        <v>0</v>
      </c>
      <c r="E28">
        <v>0</v>
      </c>
      <c r="F28">
        <v>0</v>
      </c>
      <c r="G28">
        <v>0</v>
      </c>
      <c r="H28" s="15">
        <f>N14*H10</f>
        <v>2799307.0716593331</v>
      </c>
      <c r="J28" s="29" t="s">
        <v>262</v>
      </c>
      <c r="K28" s="34">
        <f>K25/K27</f>
        <v>6.031274911547771E-2</v>
      </c>
      <c r="S28" s="29" t="s">
        <v>262</v>
      </c>
      <c r="T28" s="34">
        <v>3.2528720809096683E-2</v>
      </c>
    </row>
    <row r="29" spans="1:20" x14ac:dyDescent="0.25">
      <c r="A29" s="155"/>
      <c r="J29" s="29" t="s">
        <v>263</v>
      </c>
      <c r="K29" s="34">
        <f>K26/K27</f>
        <v>0.93968725088452232</v>
      </c>
      <c r="S29" s="29" t="s">
        <v>263</v>
      </c>
      <c r="T29" s="34">
        <v>0.96747127919090337</v>
      </c>
    </row>
    <row r="31" spans="1:20" x14ac:dyDescent="0.25">
      <c r="B31" s="137" t="str">
        <f>"EV using "&amp;B16</f>
        <v>EV using TV GGM</v>
      </c>
      <c r="C31" s="137"/>
      <c r="G31" s="137" t="s">
        <v>330</v>
      </c>
      <c r="H31" s="137"/>
    </row>
    <row r="32" spans="1:20" x14ac:dyDescent="0.25">
      <c r="B32" t="s">
        <v>265</v>
      </c>
      <c r="C32" s="15">
        <f>NPV($K$8,$E$15:$H$15)+D15</f>
        <v>485079.78781497042</v>
      </c>
      <c r="G32" s="180" t="s">
        <v>328</v>
      </c>
      <c r="H32" s="180" t="s">
        <v>329</v>
      </c>
    </row>
    <row r="33" spans="2:18" x14ac:dyDescent="0.25">
      <c r="B33" t="str">
        <f>"PV of "&amp;B16</f>
        <v>PV of TV GGM</v>
      </c>
      <c r="C33" s="17">
        <f>NPV(K8,E16:H16)</f>
        <v>2440653.2216340438</v>
      </c>
      <c r="D33" s="83"/>
      <c r="G33" t="s">
        <v>268</v>
      </c>
      <c r="H33" s="20">
        <v>0.4</v>
      </c>
    </row>
    <row r="34" spans="2:18" x14ac:dyDescent="0.25">
      <c r="B34" t="s">
        <v>269</v>
      </c>
      <c r="C34" s="15">
        <f>SUM(C32:C33)</f>
        <v>2925733.0094490144</v>
      </c>
      <c r="G34" t="str">
        <f>B18</f>
        <v>TV Exit Multiple NTM EV/EBITDA</v>
      </c>
      <c r="H34" s="20">
        <f>(100%-H35-H33)/2</f>
        <v>0.25</v>
      </c>
    </row>
    <row r="35" spans="2:18" x14ac:dyDescent="0.25">
      <c r="B35" s="18" t="s">
        <v>270</v>
      </c>
      <c r="C35" s="15">
        <f>-$K$25</f>
        <v>-334410</v>
      </c>
      <c r="G35" t="str">
        <f t="shared" ref="G35:G36" si="3">B19</f>
        <v>TV Exit Multiple NTM P/E</v>
      </c>
      <c r="H35" s="20">
        <v>0.1</v>
      </c>
    </row>
    <row r="36" spans="2:18" x14ac:dyDescent="0.25">
      <c r="B36" s="18" t="s">
        <v>271</v>
      </c>
      <c r="C36" s="17">
        <f>$K$12</f>
        <v>314210</v>
      </c>
      <c r="G36" s="25" t="str">
        <f t="shared" si="3"/>
        <v>TV Exit Multiple NTM EV/EBIT</v>
      </c>
      <c r="H36" s="203">
        <f>(100%-H35-H33)/2</f>
        <v>0.25</v>
      </c>
    </row>
    <row r="37" spans="2:18" x14ac:dyDescent="0.25">
      <c r="B37" t="s">
        <v>261</v>
      </c>
      <c r="C37" s="15">
        <f>SUM(C34:C36)</f>
        <v>2905533.0094490144</v>
      </c>
      <c r="G37" s="29" t="s">
        <v>327</v>
      </c>
      <c r="H37" s="149">
        <f ca="1">H33*C38+H34*C49+H35*D49+H36*E49</f>
        <v>124.88884100283225</v>
      </c>
    </row>
    <row r="38" spans="2:18" x14ac:dyDescent="0.25">
      <c r="B38" s="29" t="s">
        <v>273</v>
      </c>
      <c r="C38" s="149">
        <f>C37/$K$24</f>
        <v>94.501684486773044</v>
      </c>
      <c r="G38" s="29" t="s">
        <v>274</v>
      </c>
      <c r="H38" s="66">
        <f ca="1">H37/C5-1</f>
        <v>-0.26301875957257026</v>
      </c>
    </row>
    <row r="39" spans="2:18" x14ac:dyDescent="0.25">
      <c r="B39" s="29" t="s">
        <v>274</v>
      </c>
      <c r="C39" s="34">
        <f>C38/$C$5-1</f>
        <v>-0.44233633608655121</v>
      </c>
    </row>
    <row r="40" spans="2:18" x14ac:dyDescent="0.25">
      <c r="L40" s="38"/>
      <c r="M40" s="38"/>
      <c r="N40" s="218" t="s">
        <v>332</v>
      </c>
      <c r="O40" s="218"/>
      <c r="P40" s="218"/>
      <c r="Q40" s="218"/>
      <c r="R40" s="218"/>
    </row>
    <row r="41" spans="2:18" ht="13.2" customHeight="1" x14ac:dyDescent="0.25">
      <c r="B41" s="137" t="str">
        <f>"EV using Exit Multiples"</f>
        <v>EV using Exit Multiples</v>
      </c>
      <c r="C41" s="137"/>
      <c r="D41" s="137"/>
      <c r="E41" s="137"/>
      <c r="L41" s="212"/>
      <c r="M41" s="149">
        <f>C38</f>
        <v>94.501684486773044</v>
      </c>
      <c r="N41" s="66">
        <v>9.9999999999999967E-3</v>
      </c>
      <c r="O41" s="66">
        <v>1.9999999999999997E-2</v>
      </c>
      <c r="P41" s="68">
        <v>0.03</v>
      </c>
      <c r="Q41" s="66">
        <v>0.04</v>
      </c>
      <c r="R41" s="66">
        <v>0.05</v>
      </c>
    </row>
    <row r="42" spans="2:18" ht="13.2" customHeight="1" x14ac:dyDescent="0.25">
      <c r="C42" s="180" t="s">
        <v>306</v>
      </c>
      <c r="D42" s="180" t="s">
        <v>307</v>
      </c>
      <c r="E42" s="180" t="s">
        <v>308</v>
      </c>
      <c r="L42" s="212" t="s">
        <v>351</v>
      </c>
      <c r="M42" s="66">
        <v>5.8500000000000003E-2</v>
      </c>
      <c r="N42" s="83">
        <f t="dataTable" ref="N42:R46" dt2D="1" dtr="1" r1="N8" r2="K8" ca="1"/>
        <v>97.767977248725074</v>
      </c>
      <c r="O42" s="83">
        <v>120.0920489661019</v>
      </c>
      <c r="P42" s="83">
        <v>158.08213592374312</v>
      </c>
      <c r="Q42" s="83">
        <v>237.14258715991548</v>
      </c>
      <c r="R42" s="83">
        <v>502.22762954002275</v>
      </c>
    </row>
    <row r="43" spans="2:18" x14ac:dyDescent="0.25">
      <c r="B43" t="s">
        <v>265</v>
      </c>
      <c r="C43" s="15">
        <f>NPV($K$8,$E$15:$H$15)+D15</f>
        <v>485079.78781497042</v>
      </c>
      <c r="D43" s="15"/>
      <c r="E43" s="15">
        <f t="shared" ref="E43" si="4">NPV($K$8,$D$15:$H$15)</f>
        <v>450158.83947596193</v>
      </c>
      <c r="L43" s="212" t="s">
        <v>351</v>
      </c>
      <c r="M43" s="66">
        <v>6.8500000000000005E-2</v>
      </c>
      <c r="N43" s="83">
        <v>80.899073840636859</v>
      </c>
      <c r="O43" s="83">
        <v>95.182331809829307</v>
      </c>
      <c r="P43" s="83">
        <v>116.88546404873206</v>
      </c>
      <c r="Q43" s="83">
        <v>153.81886452546138</v>
      </c>
      <c r="R43" s="83">
        <v>230.6802655175737</v>
      </c>
    </row>
    <row r="44" spans="2:18" x14ac:dyDescent="0.25">
      <c r="B44" t="s">
        <v>430</v>
      </c>
      <c r="C44" s="17">
        <f>NPV(K8,D18:H18)</f>
        <v>3874114.6708749677</v>
      </c>
      <c r="D44" s="17"/>
      <c r="E44" s="17">
        <f>NPV(K8,D20:H20)</f>
        <v>4402087.1465528915</v>
      </c>
      <c r="L44" s="212" t="s">
        <v>350</v>
      </c>
      <c r="M44" s="68">
        <v>7.8277109572484738E-2</v>
      </c>
      <c r="N44" s="83">
        <v>69.194454179927604</v>
      </c>
      <c r="O44" s="83">
        <v>79.104694265159011</v>
      </c>
      <c r="P44" s="83">
        <v>93.120499150350867</v>
      </c>
      <c r="Q44" s="83">
        <v>114.45963907402071</v>
      </c>
      <c r="R44" s="83">
        <v>150.8916511096507</v>
      </c>
    </row>
    <row r="45" spans="2:18" x14ac:dyDescent="0.25">
      <c r="B45" t="s">
        <v>269</v>
      </c>
      <c r="C45" s="15">
        <f>SUM(C43:C44)</f>
        <v>4359194.4586899383</v>
      </c>
      <c r="D45" s="15"/>
      <c r="E45" s="15">
        <f>SUM(E43:E44)</f>
        <v>4852245.9860288538</v>
      </c>
      <c r="L45" s="212" t="s">
        <v>349</v>
      </c>
      <c r="M45" s="66">
        <v>8.8499999999999995E-2</v>
      </c>
      <c r="N45" s="83">
        <v>60.083870783004087</v>
      </c>
      <c r="O45" s="83">
        <v>67.212449273632657</v>
      </c>
      <c r="P45" s="83">
        <v>76.77814861575817</v>
      </c>
      <c r="Q45" s="83">
        <v>90.288466243296284</v>
      </c>
      <c r="R45" s="83">
        <v>110.81713069033469</v>
      </c>
    </row>
    <row r="46" spans="2:18" x14ac:dyDescent="0.25">
      <c r="B46" s="18" t="s">
        <v>270</v>
      </c>
      <c r="C46" s="15">
        <f>-$K$25</f>
        <v>-334410</v>
      </c>
      <c r="D46" s="15"/>
      <c r="E46" s="15">
        <f t="shared" ref="E46" si="5">-$K$25</f>
        <v>-334410</v>
      </c>
      <c r="L46" s="212"/>
      <c r="M46" s="66">
        <v>9.849999999999999E-2</v>
      </c>
      <c r="N46" s="83">
        <v>53.216503594239363</v>
      </c>
      <c r="O46" s="83">
        <v>58.584785982653536</v>
      </c>
      <c r="P46" s="83">
        <v>65.520450090312707</v>
      </c>
      <c r="Q46" s="83">
        <v>74.827281414265627</v>
      </c>
      <c r="R46" s="83">
        <v>87.971981325415641</v>
      </c>
    </row>
    <row r="47" spans="2:18" x14ac:dyDescent="0.25">
      <c r="B47" s="18" t="s">
        <v>271</v>
      </c>
      <c r="C47" s="17">
        <f>$K$12</f>
        <v>314210</v>
      </c>
      <c r="D47" s="17"/>
      <c r="E47" s="17">
        <f t="shared" ref="E47" si="6">$K$12</f>
        <v>314210</v>
      </c>
    </row>
    <row r="48" spans="2:18" x14ac:dyDescent="0.25">
      <c r="B48" t="s">
        <v>261</v>
      </c>
      <c r="C48" s="15">
        <f>SUM(C45:C47)</f>
        <v>4338994.4586899383</v>
      </c>
      <c r="D48" s="15">
        <f ca="1">NPV(K15,D19:H19)</f>
        <v>3848381.3407732872</v>
      </c>
      <c r="E48" s="15">
        <f t="shared" ref="E48" si="7">SUM(E45:E47)</f>
        <v>4832045.9860288538</v>
      </c>
      <c r="L48" s="38"/>
      <c r="M48" s="38"/>
      <c r="N48" s="218" t="s">
        <v>332</v>
      </c>
      <c r="O48" s="218"/>
      <c r="P48" s="218"/>
      <c r="Q48" s="218"/>
      <c r="R48" s="218"/>
    </row>
    <row r="49" spans="2:18" x14ac:dyDescent="0.25">
      <c r="B49" s="29" t="s">
        <v>273</v>
      </c>
      <c r="C49" s="149">
        <f>C48/$K$24</f>
        <v>141.12463496077464</v>
      </c>
      <c r="D49" s="149">
        <f ca="1">D48/$K$24</f>
        <v>125.16757444084496</v>
      </c>
      <c r="E49" s="149">
        <f>E48/$K$24</f>
        <v>157.1610040953795</v>
      </c>
      <c r="L49" s="212"/>
      <c r="M49" s="149">
        <f ca="1">H37</f>
        <v>124.88884100283225</v>
      </c>
      <c r="N49" s="66">
        <v>9.9999999999999967E-3</v>
      </c>
      <c r="O49" s="66">
        <v>1.9999999999999997E-2</v>
      </c>
      <c r="P49" s="66">
        <v>0.03</v>
      </c>
      <c r="Q49" s="66">
        <v>0.04</v>
      </c>
      <c r="R49" s="66">
        <v>0.05</v>
      </c>
    </row>
    <row r="50" spans="2:18" x14ac:dyDescent="0.25">
      <c r="B50" s="29" t="s">
        <v>274</v>
      </c>
      <c r="C50" s="34">
        <f>C49/$C$5-1</f>
        <v>-0.16720975474581234</v>
      </c>
      <c r="D50" s="34">
        <f ca="1">D49/$C$5-1</f>
        <v>-0.26137392634931578</v>
      </c>
      <c r="E50" s="34">
        <f>E49/$C$5-1</f>
        <v>-7.2577575266260519E-2</v>
      </c>
      <c r="L50" s="212" t="s">
        <v>351</v>
      </c>
      <c r="M50" s="66">
        <v>5.8500000000000003E-2</v>
      </c>
      <c r="N50" s="274">
        <f t="dataTable" ref="N50:R54" dt2D="1" dtr="1" r1="N8" r2="K8" ca="1"/>
        <v>132.85763953963425</v>
      </c>
      <c r="O50" s="274">
        <v>141.78726822658501</v>
      </c>
      <c r="P50" s="274">
        <v>156.98330300964147</v>
      </c>
      <c r="Q50" s="274">
        <v>188.60748350411041</v>
      </c>
      <c r="R50" s="274">
        <v>294.64150045615332</v>
      </c>
    </row>
    <row r="51" spans="2:18" x14ac:dyDescent="0.25">
      <c r="B51" s="29"/>
      <c r="C51" s="34"/>
      <c r="D51" s="34"/>
      <c r="E51" s="34"/>
      <c r="L51" s="212" t="s">
        <v>351</v>
      </c>
      <c r="M51" s="66">
        <v>6.8500000000000005E-2</v>
      </c>
      <c r="N51" s="274">
        <v>122.52969392876678</v>
      </c>
      <c r="O51" s="274">
        <v>128.24299711644375</v>
      </c>
      <c r="P51" s="274">
        <v>136.92425001200485</v>
      </c>
      <c r="Q51" s="274">
        <v>151.69761020269658</v>
      </c>
      <c r="R51" s="274">
        <v>182.4421705995415</v>
      </c>
    </row>
    <row r="52" spans="2:18" x14ac:dyDescent="0.25">
      <c r="B52" s="29" t="s">
        <v>325</v>
      </c>
      <c r="C52" s="180" t="s">
        <v>306</v>
      </c>
      <c r="D52" s="180" t="s">
        <v>307</v>
      </c>
      <c r="E52" s="180" t="s">
        <v>308</v>
      </c>
      <c r="L52" s="212" t="s">
        <v>350</v>
      </c>
      <c r="M52" s="68">
        <v>7.8277109572484738E-2</v>
      </c>
      <c r="N52" s="274">
        <v>114.53376415415357</v>
      </c>
      <c r="O52" s="274">
        <v>118.49786018824614</v>
      </c>
      <c r="P52" s="274">
        <v>124.10418214232288</v>
      </c>
      <c r="Q52" s="274">
        <v>132.63983811179082</v>
      </c>
      <c r="R52" s="274">
        <v>147.2126429260428</v>
      </c>
    </row>
    <row r="53" spans="2:18" x14ac:dyDescent="0.25">
      <c r="B53" t="s">
        <v>265</v>
      </c>
      <c r="C53" s="15">
        <f>NPV($K$8,$D$15:$H$15)</f>
        <v>450158.83947596193</v>
      </c>
      <c r="D53" s="15"/>
      <c r="E53" s="15">
        <f t="shared" ref="E53" si="8">NPV($K$8,$D$15:$H$15)</f>
        <v>450158.83947596193</v>
      </c>
      <c r="L53" s="212" t="s">
        <v>349</v>
      </c>
      <c r="M53" s="66">
        <v>8.8499999999999995E-2</v>
      </c>
      <c r="N53" s="274">
        <v>107.6091870475486</v>
      </c>
      <c r="O53" s="274">
        <v>110.46061844380003</v>
      </c>
      <c r="P53" s="274">
        <v>114.28689818065024</v>
      </c>
      <c r="Q53" s="274">
        <v>119.69102523166549</v>
      </c>
      <c r="R53" s="274">
        <v>127.90249101048084</v>
      </c>
    </row>
    <row r="54" spans="2:18" x14ac:dyDescent="0.25">
      <c r="B54" t="s">
        <v>430</v>
      </c>
      <c r="C54" s="17">
        <f>NPV(K8,D22:H22)</f>
        <v>6050693.7673926093</v>
      </c>
      <c r="D54" s="17"/>
      <c r="E54" s="17">
        <f>NPV(K8,D24:H24)</f>
        <v>6637797.529673201</v>
      </c>
      <c r="L54" s="212"/>
      <c r="M54" s="66">
        <v>9.849999999999999E-2</v>
      </c>
      <c r="N54" s="274">
        <v>101.82489085607736</v>
      </c>
      <c r="O54" s="274">
        <v>103.97220381144302</v>
      </c>
      <c r="P54" s="274">
        <v>106.74646945450669</v>
      </c>
      <c r="Q54" s="274">
        <v>110.46920198408785</v>
      </c>
      <c r="R54" s="274">
        <v>115.72708194854786</v>
      </c>
    </row>
    <row r="55" spans="2:18" x14ac:dyDescent="0.25">
      <c r="B55" t="s">
        <v>269</v>
      </c>
      <c r="C55" s="15">
        <f>SUM(C53:C54)</f>
        <v>6500852.6068685716</v>
      </c>
      <c r="D55" s="15"/>
      <c r="E55" s="15">
        <f>SUM(E53:E54)</f>
        <v>7087956.3691491634</v>
      </c>
    </row>
    <row r="56" spans="2:18" x14ac:dyDescent="0.25">
      <c r="B56" s="18" t="s">
        <v>270</v>
      </c>
      <c r="C56" s="15">
        <f>-$K$25</f>
        <v>-334410</v>
      </c>
      <c r="D56" s="15"/>
      <c r="E56" s="15">
        <f t="shared" ref="E56" si="9">-$K$25</f>
        <v>-334410</v>
      </c>
    </row>
    <row r="57" spans="2:18" x14ac:dyDescent="0.25">
      <c r="B57" s="18" t="s">
        <v>271</v>
      </c>
      <c r="C57" s="17">
        <f>$K$12</f>
        <v>314210</v>
      </c>
      <c r="D57" s="17"/>
      <c r="E57" s="17">
        <f t="shared" ref="E57" si="10">$K$12</f>
        <v>314210</v>
      </c>
    </row>
    <row r="58" spans="2:18" x14ac:dyDescent="0.25">
      <c r="B58" t="s">
        <v>261</v>
      </c>
      <c r="C58" s="15">
        <f>SUM(C55:C57)</f>
        <v>6480652.6068685716</v>
      </c>
      <c r="D58" s="15">
        <f ca="1">NPV(K15,D23:H23)</f>
        <v>5628241.0828938046</v>
      </c>
      <c r="E58" s="15">
        <f t="shared" ref="E58" si="11">SUM(E55:E57)</f>
        <v>7067756.3691491634</v>
      </c>
    </row>
    <row r="59" spans="2:18" x14ac:dyDescent="0.25">
      <c r="B59" s="29" t="s">
        <v>273</v>
      </c>
      <c r="C59" s="149">
        <f>C58/$K$24</f>
        <v>210.78149376758054</v>
      </c>
      <c r="D59" s="149">
        <f ca="1">D58/$K$24</f>
        <v>183.05703679889905</v>
      </c>
      <c r="E59" s="149">
        <f>E58/$K$24</f>
        <v>229.87688670361163</v>
      </c>
    </row>
    <row r="60" spans="2:18" x14ac:dyDescent="0.25">
      <c r="B60" s="29" t="s">
        <v>274</v>
      </c>
      <c r="C60" s="34">
        <f>C59/$C$5-1</f>
        <v>0.24384216787194934</v>
      </c>
      <c r="D60" s="34">
        <f ca="1">D59/$C$5-1</f>
        <v>8.0237441277581922E-2</v>
      </c>
      <c r="E60" s="34">
        <f>E59/$C$5-1</f>
        <v>0.35652594537714877</v>
      </c>
    </row>
    <row r="62" spans="2:18" x14ac:dyDescent="0.25">
      <c r="B62" s="29" t="s">
        <v>326</v>
      </c>
      <c r="C62" s="180" t="s">
        <v>306</v>
      </c>
      <c r="D62" s="180" t="s">
        <v>307</v>
      </c>
      <c r="E62" s="180" t="s">
        <v>308</v>
      </c>
    </row>
    <row r="63" spans="2:18" x14ac:dyDescent="0.25">
      <c r="B63" t="s">
        <v>265</v>
      </c>
      <c r="C63" s="15">
        <f>NPV($K$8,$D$15:$H$15)</f>
        <v>450158.83947596193</v>
      </c>
      <c r="D63" s="15"/>
      <c r="E63" s="15">
        <f t="shared" ref="E63" si="12">NPV($K$8,$D$15:$H$15)</f>
        <v>450158.83947596193</v>
      </c>
    </row>
    <row r="64" spans="2:18" x14ac:dyDescent="0.25">
      <c r="B64" t="s">
        <v>430</v>
      </c>
      <c r="C64" s="17">
        <f>NPV(K8,D26:H26)</f>
        <v>1677923.4817139166</v>
      </c>
      <c r="D64" s="17"/>
      <c r="E64" s="17">
        <f>NPV(K8,D28:H28)</f>
        <v>1926697.6126155115</v>
      </c>
    </row>
    <row r="65" spans="2:5" x14ac:dyDescent="0.25">
      <c r="B65" t="s">
        <v>269</v>
      </c>
      <c r="C65" s="15">
        <f>SUM(C63:C64)</f>
        <v>2128082.3211898785</v>
      </c>
      <c r="D65" s="15"/>
      <c r="E65" s="15">
        <f>SUM(E63:E64)</f>
        <v>2376856.4520914736</v>
      </c>
    </row>
    <row r="66" spans="2:5" x14ac:dyDescent="0.25">
      <c r="B66" s="18" t="s">
        <v>270</v>
      </c>
      <c r="C66" s="15">
        <f>-$K$25</f>
        <v>-334410</v>
      </c>
      <c r="D66" s="15"/>
      <c r="E66" s="15">
        <f t="shared" ref="E66" si="13">-$K$25</f>
        <v>-334410</v>
      </c>
    </row>
    <row r="67" spans="2:5" x14ac:dyDescent="0.25">
      <c r="B67" s="18" t="s">
        <v>271</v>
      </c>
      <c r="C67" s="17">
        <f>$K$12</f>
        <v>314210</v>
      </c>
      <c r="D67" s="17"/>
      <c r="E67" s="17">
        <f t="shared" ref="E67" si="14">$K$12</f>
        <v>314210</v>
      </c>
    </row>
    <row r="68" spans="2:5" x14ac:dyDescent="0.25">
      <c r="B68" t="s">
        <v>261</v>
      </c>
      <c r="C68" s="15">
        <f>SUM(C65:C67)</f>
        <v>2107882.3211898785</v>
      </c>
      <c r="D68" s="15">
        <f ca="1">NPV(K15,D27:H27)</f>
        <v>1790501.6538820753</v>
      </c>
      <c r="E68" s="15">
        <f t="shared" ref="E68" si="15">SUM(E65:E67)</f>
        <v>2356656.4520914736</v>
      </c>
    </row>
    <row r="69" spans="2:5" x14ac:dyDescent="0.25">
      <c r="B69" s="29" t="s">
        <v>273</v>
      </c>
      <c r="C69" s="149">
        <f>C68/$K$24</f>
        <v>68.55830906223548</v>
      </c>
      <c r="D69" s="149">
        <f ca="1">D68/$K$24</f>
        <v>58.235587693528274</v>
      </c>
      <c r="E69" s="149">
        <f>E68/$K$24</f>
        <v>76.649621172777259</v>
      </c>
    </row>
    <row r="70" spans="2:5" x14ac:dyDescent="0.25">
      <c r="B70" s="29" t="s">
        <v>274</v>
      </c>
      <c r="C70" s="34">
        <f>C69/$C$5-1</f>
        <v>-0.59543072664796726</v>
      </c>
      <c r="D70" s="34">
        <f ca="1">D69/$C$5-1</f>
        <v>-0.6563461129851984</v>
      </c>
      <c r="E70" s="34">
        <f>E69/$C$5-1</f>
        <v>-0.54768310413798393</v>
      </c>
    </row>
    <row r="74" spans="2:5" x14ac:dyDescent="0.25">
      <c r="C74" s="29" t="s">
        <v>287</v>
      </c>
      <c r="D74" s="29" t="s">
        <v>288</v>
      </c>
      <c r="E74" s="29" t="s">
        <v>286</v>
      </c>
    </row>
    <row r="75" spans="2:5" x14ac:dyDescent="0.25">
      <c r="B75" t="s">
        <v>306</v>
      </c>
      <c r="C75" s="149">
        <f>C69</f>
        <v>68.55830906223548</v>
      </c>
      <c r="D75" s="149">
        <f>C49</f>
        <v>141.12463496077464</v>
      </c>
      <c r="E75" s="149">
        <v>193.85712221749134</v>
      </c>
    </row>
    <row r="76" spans="2:5" x14ac:dyDescent="0.25">
      <c r="B76" t="s">
        <v>307</v>
      </c>
      <c r="C76" s="149">
        <f ca="1">D69</f>
        <v>58.235587693528274</v>
      </c>
      <c r="D76" s="149">
        <f ca="1">D49</f>
        <v>125.16757444084496</v>
      </c>
      <c r="E76" s="149">
        <v>187.14657207695518</v>
      </c>
    </row>
    <row r="77" spans="2:5" x14ac:dyDescent="0.25">
      <c r="B77" t="s">
        <v>308</v>
      </c>
      <c r="C77" s="149">
        <f>E69</f>
        <v>76.649621172777259</v>
      </c>
      <c r="D77" s="149">
        <f>E49</f>
        <v>157.1610040953795</v>
      </c>
      <c r="E77" s="149">
        <v>223.04323878469165</v>
      </c>
    </row>
    <row r="78" spans="2:5" x14ac:dyDescent="0.25">
      <c r="B78" t="s">
        <v>331</v>
      </c>
      <c r="C78" s="149">
        <v>70.651961240497414</v>
      </c>
      <c r="D78" s="149">
        <f>C38</f>
        <v>94.501684486773044</v>
      </c>
      <c r="E78" s="149">
        <v>150.58782461237567</v>
      </c>
    </row>
    <row r="79" spans="2:5" x14ac:dyDescent="0.25">
      <c r="B79" t="s">
        <v>458</v>
      </c>
      <c r="C79" s="149">
        <v>94.846683135808433</v>
      </c>
      <c r="D79" s="149">
        <f ca="1">H37</f>
        <v>124.88884100283225</v>
      </c>
      <c r="E79" s="149">
        <v>181.25590006642</v>
      </c>
    </row>
    <row r="81" spans="2:4" x14ac:dyDescent="0.25">
      <c r="C81" t="s">
        <v>333</v>
      </c>
      <c r="D81" t="s">
        <v>334</v>
      </c>
    </row>
    <row r="82" spans="2:4" x14ac:dyDescent="0.25">
      <c r="B82" t="s">
        <v>335</v>
      </c>
      <c r="C82" s="149">
        <f ca="1">H37</f>
        <v>124.88884100283225</v>
      </c>
      <c r="D82">
        <v>0.1</v>
      </c>
    </row>
    <row r="83" spans="2:4" x14ac:dyDescent="0.25">
      <c r="B83" t="s">
        <v>336</v>
      </c>
      <c r="C83" s="149">
        <f ca="1">H37</f>
        <v>124.88884100283225</v>
      </c>
      <c r="D83">
        <v>1.9</v>
      </c>
    </row>
    <row r="1048576" spans="16384:16384" x14ac:dyDescent="0.25">
      <c r="XFD1048576" s="307" t="s">
        <v>459</v>
      </c>
    </row>
  </sheetData>
  <conditionalFormatting sqref="N42:R46">
    <cfRule type="colorScale" priority="2">
      <colorScale>
        <cfvo type="min"/>
        <cfvo type="percentile" val="50"/>
        <cfvo type="max"/>
        <color rgb="FFF8696B"/>
        <color rgb="FFFFEB84"/>
        <color rgb="FF63BE7B"/>
      </colorScale>
    </cfRule>
  </conditionalFormatting>
  <conditionalFormatting sqref="N50:R54">
    <cfRule type="colorScale" priority="1">
      <colorScale>
        <cfvo type="min"/>
        <cfvo type="percentile" val="50"/>
        <cfvo type="max"/>
        <color rgb="FFF8696B"/>
        <color rgb="FFFFEB84"/>
        <color rgb="FF63BE7B"/>
      </colorScale>
    </cfRule>
  </conditionalFormatting>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2A6AE-A10E-48D7-A2E5-2602F0906937}">
  <dimension ref="B1:Y108"/>
  <sheetViews>
    <sheetView showGridLines="0" topLeftCell="A1048514" zoomScale="55" workbookViewId="0">
      <selection activeCell="A1048576" sqref="A1048576"/>
    </sheetView>
  </sheetViews>
  <sheetFormatPr defaultRowHeight="13.65" customHeight="1" outlineLevelRow="1" outlineLevelCol="1" x14ac:dyDescent="0.25"/>
  <cols>
    <col min="2" max="2" width="14.21875" bestFit="1" customWidth="1"/>
    <col min="8" max="12" width="11.21875" bestFit="1" customWidth="1"/>
    <col min="13" max="14" width="8.88671875" hidden="1" customWidth="1" outlineLevel="1"/>
    <col min="15" max="15" width="12.77734375" hidden="1" customWidth="1" outlineLevel="1"/>
    <col min="16" max="19" width="8.88671875" hidden="1" customWidth="1" outlineLevel="1"/>
    <col min="20" max="20" width="8.88671875" collapsed="1"/>
    <col min="42" max="42" width="8.88671875" customWidth="1"/>
  </cols>
  <sheetData>
    <row r="1" spans="2:25" ht="13.2" x14ac:dyDescent="0.25"/>
    <row r="2" spans="2:25" ht="13.2" x14ac:dyDescent="0.25">
      <c r="B2" s="237" t="s">
        <v>381</v>
      </c>
      <c r="C2" s="247"/>
      <c r="D2" s="247"/>
      <c r="E2" s="247"/>
      <c r="F2" s="247"/>
      <c r="G2" s="249"/>
      <c r="H2" s="59"/>
      <c r="I2" s="15"/>
      <c r="J2" s="15"/>
      <c r="K2" s="15"/>
      <c r="L2" s="15"/>
      <c r="M2" s="15"/>
    </row>
    <row r="3" spans="2:25" ht="13.2" x14ac:dyDescent="0.25">
      <c r="B3" s="237"/>
      <c r="C3" s="23">
        <f>Model!C7</f>
        <v>2021</v>
      </c>
      <c r="D3" s="23">
        <f>Model!D7</f>
        <v>2022</v>
      </c>
      <c r="E3" s="23">
        <f>Model!E7</f>
        <v>2023</v>
      </c>
      <c r="F3" s="23">
        <f>Model!F7</f>
        <v>2024</v>
      </c>
      <c r="G3" s="27">
        <f>Model!G7</f>
        <v>2025</v>
      </c>
      <c r="H3" s="24">
        <f>Model!H7</f>
        <v>2026</v>
      </c>
      <c r="I3" s="24">
        <f>Model!I7</f>
        <v>2027</v>
      </c>
      <c r="J3" s="24">
        <f>Model!J7</f>
        <v>2028</v>
      </c>
      <c r="K3" s="24">
        <f>Model!K7</f>
        <v>2029</v>
      </c>
      <c r="L3" s="24">
        <f>Model!L7</f>
        <v>2030</v>
      </c>
      <c r="M3" s="257">
        <f>L3+1</f>
        <v>2031</v>
      </c>
      <c r="N3" s="257">
        <f t="shared" ref="N3:S3" si="0">M3+1</f>
        <v>2032</v>
      </c>
      <c r="O3" s="257">
        <f t="shared" si="0"/>
        <v>2033</v>
      </c>
      <c r="P3" s="257">
        <f t="shared" si="0"/>
        <v>2034</v>
      </c>
      <c r="Q3" s="257">
        <f t="shared" si="0"/>
        <v>2035</v>
      </c>
      <c r="R3" s="257">
        <f t="shared" si="0"/>
        <v>2036</v>
      </c>
      <c r="S3" s="257">
        <f t="shared" si="0"/>
        <v>2037</v>
      </c>
      <c r="T3" s="257">
        <f t="shared" ref="T3:Y3" si="1">S3+1</f>
        <v>2038</v>
      </c>
      <c r="U3" s="257">
        <f t="shared" si="1"/>
        <v>2039</v>
      </c>
      <c r="V3" s="257">
        <f t="shared" si="1"/>
        <v>2040</v>
      </c>
      <c r="W3" s="257">
        <f t="shared" si="1"/>
        <v>2041</v>
      </c>
      <c r="X3" s="257">
        <f t="shared" si="1"/>
        <v>2042</v>
      </c>
      <c r="Y3" s="257">
        <f t="shared" si="1"/>
        <v>2043</v>
      </c>
    </row>
    <row r="4" spans="2:25" ht="13.2" customHeight="1" x14ac:dyDescent="0.25">
      <c r="B4" s="29" t="s">
        <v>315</v>
      </c>
      <c r="C4" s="247"/>
      <c r="D4" s="247"/>
      <c r="E4" s="247"/>
      <c r="F4" s="247"/>
      <c r="G4" s="248"/>
      <c r="H4" s="59"/>
      <c r="I4" s="15"/>
      <c r="J4" s="15"/>
      <c r="K4" s="15"/>
      <c r="L4" s="15"/>
      <c r="M4" s="15"/>
    </row>
    <row r="5" spans="2:25" ht="13.2" x14ac:dyDescent="0.25">
      <c r="B5" t="s">
        <v>134</v>
      </c>
      <c r="C5" s="247"/>
      <c r="D5" s="247"/>
      <c r="E5" s="188">
        <f>Model!E215</f>
        <v>86098.785000000003</v>
      </c>
      <c r="F5" s="188">
        <f>Model!F215</f>
        <v>89713.472599999994</v>
      </c>
      <c r="G5" s="131">
        <f>Model!G215</f>
        <v>91858.944374999992</v>
      </c>
      <c r="H5" s="43">
        <f>Model!H215</f>
        <v>93696.123262499998</v>
      </c>
      <c r="I5" s="15">
        <f>Model!I215</f>
        <v>95570.045727749995</v>
      </c>
      <c r="J5" s="15">
        <f>Model!J215</f>
        <v>97481.446642305003</v>
      </c>
      <c r="K5" s="15">
        <f>Model!K215</f>
        <v>99431.075575151102</v>
      </c>
      <c r="L5" s="15">
        <f>Model!L215</f>
        <v>101419.69708665412</v>
      </c>
      <c r="M5" s="15"/>
      <c r="N5" s="15"/>
      <c r="O5" s="15"/>
      <c r="P5" s="15"/>
      <c r="Q5" s="15"/>
      <c r="R5" s="15"/>
      <c r="S5" s="15"/>
      <c r="T5" s="15"/>
      <c r="U5" s="15"/>
      <c r="V5" s="15"/>
      <c r="W5" s="15"/>
      <c r="X5" s="15"/>
      <c r="Y5" s="15"/>
    </row>
    <row r="6" spans="2:25" ht="13.2" x14ac:dyDescent="0.25">
      <c r="B6" t="s">
        <v>138</v>
      </c>
      <c r="C6" s="247"/>
      <c r="D6" s="247"/>
      <c r="E6" s="188">
        <f t="shared" ref="E6:L6" si="2">E5*E$24</f>
        <v>5325.4356901131096</v>
      </c>
      <c r="F6" s="188">
        <f t="shared" si="2"/>
        <v>5581.6119878128929</v>
      </c>
      <c r="G6" s="131">
        <f t="shared" si="2"/>
        <v>5632.3692836311357</v>
      </c>
      <c r="H6" s="15">
        <f t="shared" si="2"/>
        <v>5722.263675834356</v>
      </c>
      <c r="I6" s="15">
        <f t="shared" si="2"/>
        <v>5836.708949351043</v>
      </c>
      <c r="J6" s="15">
        <f t="shared" si="2"/>
        <v>5953.4431283380645</v>
      </c>
      <c r="K6" s="15">
        <f t="shared" si="2"/>
        <v>6072.5119909048262</v>
      </c>
      <c r="L6" s="15">
        <f t="shared" si="2"/>
        <v>6193.962230722922</v>
      </c>
      <c r="M6" s="15">
        <f>L6*(1+M$25)</f>
        <v>6373.9936525444446</v>
      </c>
      <c r="N6" s="15">
        <f t="shared" ref="N6:S6" si="3">M6*(1+N$25)</f>
        <v>6559.2578012757822</v>
      </c>
      <c r="O6" s="15">
        <f t="shared" si="3"/>
        <v>6749.9067694274281</v>
      </c>
      <c r="P6" s="15">
        <f t="shared" si="3"/>
        <v>6946.0970701746946</v>
      </c>
      <c r="Q6" s="15">
        <f t="shared" si="3"/>
        <v>7147.9897658471236</v>
      </c>
      <c r="R6" s="15">
        <f t="shared" si="3"/>
        <v>7355.7506001525271</v>
      </c>
      <c r="S6" s="15">
        <f t="shared" si="3"/>
        <v>7569.5501342441994</v>
      </c>
      <c r="T6" s="15">
        <f t="shared" ref="T6:Y6" si="4">S6*(1+T$25)</f>
        <v>7789.5638867430143</v>
      </c>
      <c r="U6" s="15">
        <f t="shared" si="4"/>
        <v>8015.9724778293466</v>
      </c>
      <c r="V6" s="15">
        <f t="shared" si="4"/>
        <v>8248.96177752312</v>
      </c>
      <c r="W6" s="15">
        <f t="shared" si="4"/>
        <v>8488.7230582737047</v>
      </c>
      <c r="X6" s="15">
        <f t="shared" si="4"/>
        <v>8735.4531519849461</v>
      </c>
      <c r="Y6" s="15">
        <f t="shared" si="4"/>
        <v>8989.3546116042107</v>
      </c>
    </row>
    <row r="7" spans="2:25" ht="13.2" x14ac:dyDescent="0.25">
      <c r="B7" t="s">
        <v>268</v>
      </c>
      <c r="C7" s="247"/>
      <c r="D7" s="247"/>
      <c r="E7" s="188"/>
      <c r="F7" s="188"/>
      <c r="G7" s="131"/>
      <c r="I7" s="15"/>
      <c r="J7" s="15"/>
      <c r="K7" s="15"/>
      <c r="L7" s="15">
        <f>(L6-H33)*(1+DCF!$N$8)/(DCF!$K$8-DCF!$N$8)</f>
        <v>105206.15927649848</v>
      </c>
      <c r="M7" s="15"/>
    </row>
    <row r="8" spans="2:25" ht="13.2" x14ac:dyDescent="0.25">
      <c r="B8" t="s">
        <v>401</v>
      </c>
      <c r="G8" s="13"/>
      <c r="H8" s="15">
        <f>H6+NPV(DCF!$K$8,'Store NPV'!I6:L6)</f>
        <v>25712.957014297113</v>
      </c>
      <c r="M8" s="15"/>
    </row>
    <row r="9" spans="2:25" ht="13.2" x14ac:dyDescent="0.25">
      <c r="B9" t="s">
        <v>395</v>
      </c>
      <c r="G9" s="13"/>
      <c r="H9" s="252">
        <f>H6+NPV(DCF!$K$8,'Store NPV'!I6:L6)+NPV(DCF!$K$8,I7:L7)</f>
        <v>123345.31308289635</v>
      </c>
      <c r="I9" s="252"/>
      <c r="M9" s="15"/>
    </row>
    <row r="10" spans="2:25" ht="13.2" x14ac:dyDescent="0.25">
      <c r="B10" s="29" t="s">
        <v>316</v>
      </c>
      <c r="C10" s="247"/>
      <c r="D10" s="247"/>
      <c r="E10" s="188"/>
      <c r="F10" s="188"/>
      <c r="G10" s="131"/>
      <c r="H10" s="252"/>
      <c r="I10" s="15"/>
      <c r="J10" s="15"/>
      <c r="K10" s="15"/>
      <c r="L10" s="15"/>
      <c r="M10" s="15"/>
    </row>
    <row r="11" spans="2:25" ht="13.2" x14ac:dyDescent="0.25">
      <c r="B11" t="s">
        <v>134</v>
      </c>
      <c r="C11" s="247"/>
      <c r="D11" s="247"/>
      <c r="E11" s="188">
        <f>Model!E216</f>
        <v>84606.190499999997</v>
      </c>
      <c r="F11" s="188">
        <f>Model!F216</f>
        <v>92438.083071428569</v>
      </c>
      <c r="G11" s="131">
        <f>Model!G216</f>
        <v>95269.939999999988</v>
      </c>
      <c r="H11" s="43">
        <f>Model!H216</f>
        <v>97175.338799999983</v>
      </c>
      <c r="I11" s="15">
        <f>Model!I216</f>
        <v>99118.845575999978</v>
      </c>
      <c r="J11" s="15">
        <f>Model!J216</f>
        <v>101101.22248751998</v>
      </c>
      <c r="K11" s="15">
        <f>Model!K216</f>
        <v>103123.24693727038</v>
      </c>
      <c r="L11" s="15">
        <f>Model!L216</f>
        <v>105185.71187601579</v>
      </c>
      <c r="M11" s="15"/>
    </row>
    <row r="12" spans="2:25" ht="13.2" x14ac:dyDescent="0.25">
      <c r="B12" t="s">
        <v>138</v>
      </c>
      <c r="C12" s="247"/>
      <c r="D12" s="247"/>
      <c r="E12" s="188">
        <f t="shared" ref="E12:L12" si="5">E11*E$24</f>
        <v>5233.1148051997325</v>
      </c>
      <c r="F12" s="188">
        <f t="shared" si="5"/>
        <v>5751.1263096723533</v>
      </c>
      <c r="G12" s="131">
        <f t="shared" si="5"/>
        <v>5841.5158954887702</v>
      </c>
      <c r="H12" s="15">
        <f t="shared" si="5"/>
        <v>5934.7483336558698</v>
      </c>
      <c r="I12" s="15">
        <f t="shared" si="5"/>
        <v>6053.4433003289869</v>
      </c>
      <c r="J12" s="15">
        <f t="shared" si="5"/>
        <v>6174.5121663355667</v>
      </c>
      <c r="K12" s="15">
        <f t="shared" si="5"/>
        <v>6298.0024096622783</v>
      </c>
      <c r="L12" s="15">
        <f t="shared" si="5"/>
        <v>6423.962457855524</v>
      </c>
      <c r="M12" s="15">
        <f>L12*(1+M$25)</f>
        <v>6610.6789814531876</v>
      </c>
      <c r="N12">
        <f t="shared" ref="N12:S12" si="6">M12*(1+N$25)</f>
        <v>6802.8225386633785</v>
      </c>
      <c r="O12">
        <f t="shared" si="6"/>
        <v>7000.5508696435509</v>
      </c>
      <c r="P12">
        <f t="shared" si="6"/>
        <v>7204.0262993683991</v>
      </c>
      <c r="Q12">
        <f t="shared" si="6"/>
        <v>7413.4158708904652</v>
      </c>
      <c r="R12">
        <f t="shared" si="6"/>
        <v>7628.8914824740505</v>
      </c>
      <c r="S12">
        <f t="shared" si="6"/>
        <v>7850.6300287150098</v>
      </c>
      <c r="T12">
        <f t="shared" ref="T12:Y12" si="7">S12*(1+T$25)</f>
        <v>8078.8135457622784</v>
      </c>
      <c r="U12">
        <f t="shared" si="7"/>
        <v>8313.6293607603639</v>
      </c>
      <c r="V12">
        <f t="shared" si="7"/>
        <v>8555.2702456354655</v>
      </c>
      <c r="W12">
        <f t="shared" si="7"/>
        <v>8803.9345753514954</v>
      </c>
      <c r="X12">
        <f t="shared" si="7"/>
        <v>9059.826490765905</v>
      </c>
      <c r="Y12">
        <f t="shared" si="7"/>
        <v>9323.1560662190168</v>
      </c>
    </row>
    <row r="13" spans="2:25" ht="13.2" x14ac:dyDescent="0.25">
      <c r="B13" t="s">
        <v>268</v>
      </c>
      <c r="G13" s="13"/>
      <c r="I13" s="15"/>
      <c r="J13" s="15"/>
      <c r="K13" s="15"/>
      <c r="L13" s="15">
        <f>(L12-H33)*(1+DCF!$N$8)/(DCF!$K$8-DCF!$N$8)</f>
        <v>110185.6989832004</v>
      </c>
      <c r="M13" s="15"/>
    </row>
    <row r="14" spans="2:25" ht="13.2" customHeight="1" x14ac:dyDescent="0.25">
      <c r="B14" t="s">
        <v>401</v>
      </c>
      <c r="G14" s="13"/>
      <c r="H14" s="15">
        <f>H12+NPV(DCF!$K$8,'Store NPV'!I12:L12)</f>
        <v>26667.755531505529</v>
      </c>
      <c r="M14" s="15"/>
    </row>
    <row r="15" spans="2:25" ht="13.2" x14ac:dyDescent="0.25">
      <c r="B15" t="s">
        <v>395</v>
      </c>
      <c r="C15" s="247"/>
      <c r="D15" s="247"/>
      <c r="E15" s="188"/>
      <c r="F15" s="188"/>
      <c r="G15" s="131"/>
      <c r="H15" s="252">
        <f>H12+NPV(DCF!$K$8,'Store NPV'!I12:L12)+NPV(DCF!$K$8,I13:L13)</f>
        <v>128921.17368473741</v>
      </c>
      <c r="M15" s="15"/>
    </row>
    <row r="16" spans="2:25" ht="13.2" customHeight="1" x14ac:dyDescent="0.25">
      <c r="B16" s="29" t="s">
        <v>320</v>
      </c>
      <c r="C16" s="247"/>
      <c r="D16" s="247"/>
      <c r="E16" s="188"/>
      <c r="F16" s="188"/>
      <c r="G16" s="131"/>
      <c r="H16" s="252"/>
      <c r="I16" s="15"/>
      <c r="J16" s="15"/>
      <c r="K16" s="15"/>
      <c r="L16" s="15"/>
      <c r="M16" s="15"/>
    </row>
    <row r="17" spans="2:25" ht="13.2" x14ac:dyDescent="0.25">
      <c r="B17" t="s">
        <v>134</v>
      </c>
      <c r="C17" s="247"/>
      <c r="D17" s="247"/>
      <c r="E17" s="188">
        <f>Model!E217</f>
        <v>52049.39233333333</v>
      </c>
      <c r="F17" s="188">
        <f>Model!F217</f>
        <v>45467.975699999995</v>
      </c>
      <c r="G17" s="131">
        <f>Model!G217</f>
        <v>56878.741999999991</v>
      </c>
      <c r="H17" s="43">
        <f>Model!H217</f>
        <v>58016.316839999992</v>
      </c>
      <c r="I17" s="15">
        <f>Model!I217</f>
        <v>59176.643176799997</v>
      </c>
      <c r="J17" s="15">
        <f>Model!J217</f>
        <v>60360.176040335995</v>
      </c>
      <c r="K17" s="15">
        <f>Model!K217</f>
        <v>61567.379561142719</v>
      </c>
      <c r="L17" s="15">
        <f>Model!L217</f>
        <v>62798.727152365573</v>
      </c>
      <c r="M17" s="250"/>
    </row>
    <row r="18" spans="2:25" ht="13.2" x14ac:dyDescent="0.25">
      <c r="B18" t="s">
        <v>138</v>
      </c>
      <c r="C18" s="247"/>
      <c r="D18" s="247"/>
      <c r="E18" s="247">
        <f t="shared" ref="E18:L18" si="8">E17*E$24</f>
        <v>3219.3914418261879</v>
      </c>
      <c r="F18" s="247">
        <f t="shared" si="8"/>
        <v>2828.8348547184128</v>
      </c>
      <c r="G18" s="248">
        <f t="shared" si="8"/>
        <v>3487.5436628636976</v>
      </c>
      <c r="H18" s="15">
        <f t="shared" si="8"/>
        <v>3543.2059609247381</v>
      </c>
      <c r="I18" s="15">
        <f t="shared" si="8"/>
        <v>3614.0700801432331</v>
      </c>
      <c r="J18" s="15">
        <f t="shared" si="8"/>
        <v>3686.3514817460978</v>
      </c>
      <c r="K18" s="15">
        <f t="shared" si="8"/>
        <v>3760.0785113810202</v>
      </c>
      <c r="L18" s="15">
        <f t="shared" si="8"/>
        <v>3835.2800816086406</v>
      </c>
      <c r="M18" s="195">
        <f>L18*(1+M$25)</f>
        <v>3946.7549179825105</v>
      </c>
      <c r="N18">
        <f t="shared" ref="N18:S18" si="9">M18*(1+N$25)</f>
        <v>4061.4698408377226</v>
      </c>
      <c r="O18">
        <f t="shared" si="9"/>
        <v>4179.5190253329774</v>
      </c>
      <c r="P18">
        <f t="shared" si="9"/>
        <v>4300.9993838874043</v>
      </c>
      <c r="Q18">
        <f t="shared" si="9"/>
        <v>4426.0106457407674</v>
      </c>
      <c r="R18">
        <f t="shared" si="9"/>
        <v>4554.6554388261311</v>
      </c>
      <c r="S18">
        <f t="shared" si="9"/>
        <v>4687.0393740222125</v>
      </c>
      <c r="T18">
        <f t="shared" ref="T18:Y18" si="10">S18*(1+T$25)</f>
        <v>4823.2711318545807</v>
      </c>
      <c r="U18">
        <f t="shared" si="10"/>
        <v>4963.4625517168779</v>
      </c>
      <c r="V18">
        <f t="shared" si="10"/>
        <v>5107.7287236853144</v>
      </c>
      <c r="W18">
        <f t="shared" si="10"/>
        <v>5256.1880830018099</v>
      </c>
      <c r="X18">
        <f t="shared" si="10"/>
        <v>5408.9625073033467</v>
      </c>
      <c r="Y18">
        <f t="shared" si="10"/>
        <v>5566.1774166773539</v>
      </c>
    </row>
    <row r="19" spans="2:25" ht="13.2" x14ac:dyDescent="0.25">
      <c r="B19" t="s">
        <v>268</v>
      </c>
      <c r="G19" s="13"/>
      <c r="I19" s="15"/>
      <c r="J19" s="15"/>
      <c r="K19" s="15"/>
      <c r="L19" s="15">
        <f>(L18-H33)*(1+DCF!$N$8)/(DCF!$K$8-DCF!$N$8)</f>
        <v>54140.333979586685</v>
      </c>
      <c r="M19" s="15"/>
    </row>
    <row r="20" spans="2:25" ht="13.2" x14ac:dyDescent="0.25">
      <c r="B20" t="s">
        <v>401</v>
      </c>
      <c r="G20" s="13"/>
      <c r="H20" s="15">
        <f>H18+NPV(DCF!$K$8,'Store NPV'!I18:L18)</f>
        <v>15921.374429285628</v>
      </c>
    </row>
    <row r="21" spans="2:25" ht="13.2" x14ac:dyDescent="0.25">
      <c r="B21" t="s">
        <v>395</v>
      </c>
      <c r="C21" s="247"/>
      <c r="D21" s="247"/>
      <c r="E21" s="247"/>
      <c r="F21" s="247"/>
      <c r="G21" s="248"/>
      <c r="H21" s="252">
        <f>H18+NPV(DCF!$K$8,'Store NPV'!I18:L18)+NPV(DCF!$K$8,I19:L19)</f>
        <v>66164.13969244709</v>
      </c>
      <c r="M21" s="15"/>
    </row>
    <row r="22" spans="2:25" ht="13.2" x14ac:dyDescent="0.25">
      <c r="B22" s="141" t="s">
        <v>386</v>
      </c>
      <c r="C22" s="247"/>
      <c r="D22" s="247"/>
      <c r="E22" s="247"/>
      <c r="F22" s="247"/>
      <c r="G22" s="248"/>
      <c r="H22" s="15"/>
      <c r="I22" s="15"/>
      <c r="J22" s="15"/>
      <c r="K22" s="15"/>
      <c r="L22" s="15"/>
      <c r="M22" s="15"/>
    </row>
    <row r="23" spans="2:25" ht="13.2" x14ac:dyDescent="0.25">
      <c r="B23" t="s">
        <v>380</v>
      </c>
      <c r="C23" s="247"/>
      <c r="D23" s="247"/>
      <c r="E23" s="247"/>
      <c r="F23" s="247"/>
      <c r="G23" s="248"/>
      <c r="H23" s="39">
        <f>H5/G5-1</f>
        <v>2.0000000000000018E-2</v>
      </c>
      <c r="I23" s="39"/>
      <c r="J23" s="39"/>
      <c r="K23" s="39"/>
      <c r="L23" s="39"/>
      <c r="M23" s="15"/>
    </row>
    <row r="24" spans="2:25" ht="13.2" customHeight="1" x14ac:dyDescent="0.25">
      <c r="B24" t="s">
        <v>344</v>
      </c>
      <c r="C24" s="250">
        <f>Model!C24</f>
        <v>6.1888945766299407E-2</v>
      </c>
      <c r="D24" s="250">
        <f>Model!D24</f>
        <v>5.8089915798777841E-2</v>
      </c>
      <c r="E24" s="250">
        <f>Model!E24</f>
        <v>6.1852623008711555E-2</v>
      </c>
      <c r="F24" s="250">
        <f>Model!F24</f>
        <v>6.2215984133166785E-2</v>
      </c>
      <c r="G24" s="251">
        <f>Model!G24</f>
        <v>6.1315414867362895E-2</v>
      </c>
      <c r="H24" s="254">
        <f>AVERAGE(C24:G24)</f>
        <v>6.1072576714863699E-2</v>
      </c>
      <c r="I24" s="250">
        <f>H24</f>
        <v>6.1072576714863699E-2</v>
      </c>
      <c r="J24" s="250">
        <f t="shared" ref="J24:L24" si="11">I24</f>
        <v>6.1072576714863699E-2</v>
      </c>
      <c r="K24" s="250">
        <f t="shared" si="11"/>
        <v>6.1072576714863699E-2</v>
      </c>
      <c r="L24" s="250">
        <f t="shared" si="11"/>
        <v>6.1072576714863699E-2</v>
      </c>
      <c r="M24" s="15"/>
    </row>
    <row r="25" spans="2:25" ht="13.2" x14ac:dyDescent="0.25">
      <c r="B25" t="s">
        <v>392</v>
      </c>
      <c r="C25" s="250"/>
      <c r="D25" s="250"/>
      <c r="E25" s="250"/>
      <c r="F25" s="250"/>
      <c r="G25" s="251"/>
      <c r="H25" s="195">
        <f>H18/G18-1</f>
        <v>1.5960315752816978E-2</v>
      </c>
      <c r="I25" s="195">
        <f>I18/H18-1</f>
        <v>2.0000000000000018E-2</v>
      </c>
      <c r="J25" s="195">
        <f>J18/I18-1</f>
        <v>2.0000000000000018E-2</v>
      </c>
      <c r="K25" s="195">
        <f>K18/J18-1</f>
        <v>2.000000000000024E-2</v>
      </c>
      <c r="L25" s="195">
        <f>L18/K18-1</f>
        <v>2.0000000000000018E-2</v>
      </c>
      <c r="M25" s="195">
        <f>AVERAGE(Model!H26:L26)</f>
        <v>2.906563119299339E-2</v>
      </c>
      <c r="N25" s="195">
        <f>M25</f>
        <v>2.906563119299339E-2</v>
      </c>
      <c r="O25" s="195">
        <f t="shared" ref="O25:S25" si="12">N25</f>
        <v>2.906563119299339E-2</v>
      </c>
      <c r="P25" s="195">
        <f t="shared" si="12"/>
        <v>2.906563119299339E-2</v>
      </c>
      <c r="Q25" s="195">
        <f t="shared" si="12"/>
        <v>2.906563119299339E-2</v>
      </c>
      <c r="R25" s="195">
        <f t="shared" si="12"/>
        <v>2.906563119299339E-2</v>
      </c>
      <c r="S25" s="195">
        <f t="shared" si="12"/>
        <v>2.906563119299339E-2</v>
      </c>
      <c r="T25" s="195">
        <f t="shared" ref="T25:Y25" si="13">S25</f>
        <v>2.906563119299339E-2</v>
      </c>
      <c r="U25" s="195">
        <f t="shared" si="13"/>
        <v>2.906563119299339E-2</v>
      </c>
      <c r="V25" s="195">
        <f t="shared" si="13"/>
        <v>2.906563119299339E-2</v>
      </c>
      <c r="W25" s="195">
        <f t="shared" si="13"/>
        <v>2.906563119299339E-2</v>
      </c>
      <c r="X25" s="195">
        <f t="shared" si="13"/>
        <v>2.906563119299339E-2</v>
      </c>
      <c r="Y25" s="195">
        <f t="shared" si="13"/>
        <v>2.906563119299339E-2</v>
      </c>
    </row>
    <row r="26" spans="2:25" ht="13.2" customHeight="1" x14ac:dyDescent="0.25">
      <c r="C26" s="247"/>
      <c r="D26" s="247"/>
      <c r="E26" s="247"/>
      <c r="F26" s="247"/>
      <c r="G26" s="248"/>
      <c r="H26" s="59"/>
      <c r="I26" s="15"/>
      <c r="J26" s="15"/>
      <c r="K26" s="15"/>
      <c r="L26" s="15"/>
      <c r="M26" s="15"/>
    </row>
    <row r="27" spans="2:25" ht="13.2" x14ac:dyDescent="0.25">
      <c r="B27" s="237" t="s">
        <v>341</v>
      </c>
      <c r="G27" s="13"/>
      <c r="M27" s="15"/>
    </row>
    <row r="28" spans="2:25" ht="13.2" x14ac:dyDescent="0.25">
      <c r="B28" t="s">
        <v>304</v>
      </c>
      <c r="C28" s="59">
        <f>Model!C383</f>
        <v>103293</v>
      </c>
      <c r="D28" s="59">
        <f>Model!D383</f>
        <v>95098</v>
      </c>
      <c r="E28" s="59">
        <f>Model!E383</f>
        <v>92946</v>
      </c>
      <c r="F28" s="59">
        <f>Model!F383</f>
        <v>73851</v>
      </c>
      <c r="G28" s="60">
        <f>Model!G383</f>
        <v>74737</v>
      </c>
      <c r="H28" s="15">
        <f>Model!H383</f>
        <v>78740.767857142855</v>
      </c>
      <c r="I28" s="15">
        <f>Model!I383</f>
        <v>84079.125</v>
      </c>
      <c r="J28" s="15">
        <f>Model!J383</f>
        <v>85413.71428571429</v>
      </c>
      <c r="K28" s="15">
        <f>Model!K383</f>
        <v>88082.892857142855</v>
      </c>
      <c r="L28" s="15">
        <f>Model!L383</f>
        <v>89417.482142857145</v>
      </c>
      <c r="M28" s="15"/>
    </row>
    <row r="29" spans="2:25" ht="13.2" x14ac:dyDescent="0.25">
      <c r="B29" t="s">
        <v>303</v>
      </c>
      <c r="C29" s="75">
        <f>Model!C384</f>
        <v>0</v>
      </c>
      <c r="D29" s="75">
        <f>Model!D384</f>
        <v>0</v>
      </c>
      <c r="E29" s="169">
        <f>Model!E384</f>
        <v>73200</v>
      </c>
      <c r="F29" s="169">
        <f>Model!F384</f>
        <v>96200</v>
      </c>
      <c r="G29" s="177">
        <f>Model!G384</f>
        <v>76000</v>
      </c>
      <c r="H29" s="17">
        <f>Model!H384</f>
        <v>76000</v>
      </c>
      <c r="I29" s="17">
        <f>Model!I384</f>
        <v>101333.33333333333</v>
      </c>
      <c r="J29" s="17">
        <f>Model!J384</f>
        <v>25333.333333333332</v>
      </c>
      <c r="K29" s="17">
        <f>Model!K384</f>
        <v>50666.666666666664</v>
      </c>
      <c r="L29" s="17">
        <f>Model!L384</f>
        <v>25333.333333333332</v>
      </c>
      <c r="M29" s="15"/>
    </row>
    <row r="30" spans="2:25" ht="13.2" x14ac:dyDescent="0.25">
      <c r="B30" t="s">
        <v>305</v>
      </c>
      <c r="C30" s="15">
        <f>Model!C385</f>
        <v>103293</v>
      </c>
      <c r="D30" s="15">
        <f>Model!D385</f>
        <v>95098</v>
      </c>
      <c r="E30" s="15">
        <f>Model!E385</f>
        <v>166146</v>
      </c>
      <c r="F30" s="15">
        <f>Model!F385</f>
        <v>170051</v>
      </c>
      <c r="G30" s="30">
        <f>Model!G385</f>
        <v>150737</v>
      </c>
      <c r="H30" s="15">
        <f>Model!H385</f>
        <v>154740.76785714284</v>
      </c>
      <c r="I30" s="15">
        <f>Model!I385</f>
        <v>185412.45833333331</v>
      </c>
      <c r="J30" s="15">
        <f>Model!J385</f>
        <v>110747.04761904762</v>
      </c>
      <c r="K30" s="15">
        <f>Model!K385</f>
        <v>138749.55952380953</v>
      </c>
      <c r="L30" s="15">
        <f>Model!L385</f>
        <v>114750.81547619047</v>
      </c>
      <c r="M30" s="15"/>
    </row>
    <row r="31" spans="2:25" ht="13.2" customHeight="1" x14ac:dyDescent="0.25">
      <c r="C31" s="15"/>
      <c r="D31" s="15"/>
      <c r="E31" s="15"/>
      <c r="F31" s="15"/>
      <c r="G31" s="14"/>
      <c r="H31" s="15"/>
      <c r="I31" s="15"/>
      <c r="J31" s="15"/>
      <c r="K31" s="15"/>
      <c r="L31" s="15"/>
    </row>
    <row r="32" spans="2:25" ht="13.65" customHeight="1" x14ac:dyDescent="0.25">
      <c r="B32" t="s">
        <v>385</v>
      </c>
      <c r="C32" s="15"/>
      <c r="D32" s="15"/>
      <c r="E32" s="15"/>
      <c r="F32" s="15"/>
      <c r="G32" s="14"/>
      <c r="H32" s="15"/>
      <c r="I32" s="15"/>
      <c r="J32" s="15"/>
      <c r="K32" s="15"/>
      <c r="L32" s="15"/>
    </row>
    <row r="33" spans="2:13" ht="13.65" customHeight="1" x14ac:dyDescent="0.25">
      <c r="B33" t="s">
        <v>304</v>
      </c>
      <c r="C33" s="15"/>
      <c r="D33" s="15"/>
      <c r="E33" s="15"/>
      <c r="F33" s="15"/>
      <c r="G33" s="14"/>
      <c r="H33" s="15">
        <f>H28/H79</f>
        <v>1334.5892857142858</v>
      </c>
      <c r="I33" s="15">
        <f>H33</f>
        <v>1334.5892857142858</v>
      </c>
      <c r="J33" s="15">
        <f t="shared" ref="J33:L33" si="14">I33</f>
        <v>1334.5892857142858</v>
      </c>
      <c r="K33" s="15">
        <f t="shared" si="14"/>
        <v>1334.5892857142858</v>
      </c>
      <c r="L33" s="15">
        <f t="shared" si="14"/>
        <v>1334.5892857142858</v>
      </c>
    </row>
    <row r="34" spans="2:13" ht="13.65" customHeight="1" x14ac:dyDescent="0.25">
      <c r="B34" t="s">
        <v>303</v>
      </c>
      <c r="C34" s="15"/>
      <c r="D34" s="15"/>
      <c r="E34" s="15"/>
      <c r="F34" s="15"/>
      <c r="G34" s="14"/>
      <c r="H34" s="15">
        <f>H29/H78</f>
        <v>25333.333333333332</v>
      </c>
      <c r="I34" s="15"/>
      <c r="J34" s="15"/>
      <c r="K34" s="15"/>
      <c r="L34" s="15"/>
    </row>
    <row r="35" spans="2:13" ht="13.65" hidden="1" customHeight="1" outlineLevel="1" x14ac:dyDescent="0.25">
      <c r="C35" s="15"/>
      <c r="D35" s="15"/>
      <c r="E35" s="15"/>
      <c r="F35" s="15"/>
      <c r="G35" s="15"/>
      <c r="H35" s="15">
        <f>-SUM(H33:H34)+SUM(H6)</f>
        <v>-20945.65894321326</v>
      </c>
      <c r="I35" s="15">
        <f>-SUM(I33:I34)+SUM(I6)</f>
        <v>4502.1196636367567</v>
      </c>
      <c r="J35" s="15">
        <f>-SUM(J33:J34)+SUM(J6)</f>
        <v>4618.8538426237792</v>
      </c>
      <c r="K35" s="15">
        <f>-SUM(K33:K34)+SUM(K6)</f>
        <v>4737.92270519054</v>
      </c>
      <c r="L35" s="15">
        <f>-SUM(L33:L34)+SUM(L6)</f>
        <v>4859.3729450086357</v>
      </c>
    </row>
    <row r="36" spans="2:13" ht="13.65" hidden="1" customHeight="1" outlineLevel="1" x14ac:dyDescent="0.25">
      <c r="C36" s="15"/>
      <c r="D36" s="15"/>
      <c r="E36" s="15"/>
      <c r="F36" s="15"/>
      <c r="G36" s="15"/>
      <c r="H36" s="15">
        <f>-SUM(H33:H34)+SUM(H12)</f>
        <v>-20733.174285391749</v>
      </c>
      <c r="I36" s="15">
        <f>-SUM(I33:I34)+SUM(I12)</f>
        <v>4718.8540146147006</v>
      </c>
      <c r="J36" s="15">
        <f>-SUM(J33:J34)+SUM(J12)</f>
        <v>4839.9228806212814</v>
      </c>
      <c r="K36" s="15">
        <f>-SUM(K33:K34)+SUM(K12)</f>
        <v>4963.4131239479921</v>
      </c>
      <c r="L36" s="15">
        <f>-SUM(L33:L34)+SUM(L12)</f>
        <v>5089.3731721412387</v>
      </c>
    </row>
    <row r="37" spans="2:13" ht="13.65" hidden="1" customHeight="1" outlineLevel="1" x14ac:dyDescent="0.25">
      <c r="C37" s="15"/>
      <c r="D37" s="15"/>
      <c r="E37" s="15"/>
      <c r="F37" s="15"/>
      <c r="G37" s="15"/>
      <c r="H37" s="15">
        <f>-SUM(H33:H34)+SUM(H18)</f>
        <v>-23124.716658122881</v>
      </c>
      <c r="I37" s="15">
        <f>-SUM(I33:I34)+SUM(I18)</f>
        <v>2279.4807944289473</v>
      </c>
      <c r="J37" s="15">
        <f>-SUM(J33:J34)+SUM(J18)</f>
        <v>2351.762196031812</v>
      </c>
      <c r="K37" s="15">
        <f>-SUM(K33:K34)+SUM(K18)</f>
        <v>2425.4892256667345</v>
      </c>
      <c r="L37" s="15">
        <f>-SUM(L33:L34)+SUM(L18)</f>
        <v>2500.6907958943548</v>
      </c>
    </row>
    <row r="38" spans="2:13" ht="13.65" customHeight="1" collapsed="1" x14ac:dyDescent="0.25">
      <c r="C38" s="15"/>
      <c r="D38" s="15"/>
      <c r="E38" s="15"/>
      <c r="F38" s="15"/>
      <c r="G38" s="15"/>
      <c r="H38" s="15"/>
      <c r="I38" s="15"/>
      <c r="J38" s="15"/>
      <c r="K38" s="15"/>
      <c r="L38" s="15"/>
    </row>
    <row r="39" spans="2:13" ht="13.65" customHeight="1" x14ac:dyDescent="0.25">
      <c r="B39" t="s">
        <v>387</v>
      </c>
      <c r="C39" s="15"/>
      <c r="D39" s="15"/>
      <c r="E39" s="15"/>
      <c r="F39" s="15"/>
      <c r="G39" s="15"/>
      <c r="H39" s="15">
        <f>H34</f>
        <v>25333.333333333332</v>
      </c>
      <c r="I39" s="15"/>
      <c r="J39" s="15"/>
      <c r="K39" s="15"/>
      <c r="L39" s="15"/>
    </row>
    <row r="40" spans="2:13" ht="13.65" customHeight="1" x14ac:dyDescent="0.25">
      <c r="B40" t="s">
        <v>388</v>
      </c>
      <c r="H40" s="17">
        <f>H33/DCF!K8</f>
        <v>17203.918925738228</v>
      </c>
    </row>
    <row r="41" spans="2:13" ht="13.65" customHeight="1" x14ac:dyDescent="0.25">
      <c r="B41" t="s">
        <v>400</v>
      </c>
      <c r="H41" s="15">
        <f>SUM(H39:H40)</f>
        <v>42537.25225907156</v>
      </c>
      <c r="M41" s="24"/>
    </row>
    <row r="42" spans="2:13" ht="13.65" customHeight="1" x14ac:dyDescent="0.25">
      <c r="H42" s="236"/>
      <c r="M42" s="15"/>
    </row>
    <row r="43" spans="2:13" ht="13.65" customHeight="1" x14ac:dyDescent="0.25">
      <c r="B43" t="s">
        <v>389</v>
      </c>
      <c r="H43" s="253">
        <f>H9-SUM(H39:H40)</f>
        <v>80808.060823824781</v>
      </c>
      <c r="M43" s="15"/>
    </row>
    <row r="44" spans="2:13" ht="13.65" customHeight="1" x14ac:dyDescent="0.25">
      <c r="B44" t="s">
        <v>390</v>
      </c>
      <c r="H44" s="253">
        <f>H15-SUM(H39:H40)</f>
        <v>86383.921425665845</v>
      </c>
      <c r="M44" s="15"/>
    </row>
    <row r="45" spans="2:13" ht="13.65" customHeight="1" x14ac:dyDescent="0.25">
      <c r="B45" t="s">
        <v>391</v>
      </c>
      <c r="H45" s="253">
        <f>H21-SUM(H39:H40)</f>
        <v>23626.88743337553</v>
      </c>
      <c r="M45" s="15"/>
    </row>
    <row r="46" spans="2:13" ht="13.65" customHeight="1" x14ac:dyDescent="0.25">
      <c r="B46" t="str">
        <f>"IRR over 5 years in "&amp;B4</f>
        <v>IRR over 5 years in Central America</v>
      </c>
      <c r="H46" s="20">
        <f>IRR(H35:L35)</f>
        <v>-4.2980791709789856E-2</v>
      </c>
      <c r="M46" s="15"/>
    </row>
    <row r="47" spans="2:13" ht="13.65" customHeight="1" x14ac:dyDescent="0.25">
      <c r="B47" t="str">
        <f>"IRR over 5 years in "&amp;B10</f>
        <v>IRR over 5 years in Caribbean</v>
      </c>
      <c r="H47" s="20">
        <f>IRR(H36:L36)</f>
        <v>-2.1614770255970028E-2</v>
      </c>
      <c r="M47" s="15"/>
    </row>
    <row r="48" spans="2:13" ht="13.65" customHeight="1" x14ac:dyDescent="0.25">
      <c r="B48" t="str">
        <f>"IRR over 5 years in "&amp;B16</f>
        <v>IRR over 5 years in South America</v>
      </c>
      <c r="H48" s="20">
        <f>IRR(H37:L37)</f>
        <v>-0.27596906076421701</v>
      </c>
      <c r="M48" s="15"/>
    </row>
    <row r="49" spans="2:25" ht="13.65" customHeight="1" x14ac:dyDescent="0.25">
      <c r="H49" s="20"/>
      <c r="M49" s="15"/>
    </row>
    <row r="50" spans="2:25" ht="13.65" customHeight="1" x14ac:dyDescent="0.25">
      <c r="B50" s="137" t="str">
        <f>B4&amp;" Club Payback Period"</f>
        <v>Central America Club Payback Period</v>
      </c>
      <c r="C50" s="137"/>
      <c r="D50" s="137"/>
      <c r="E50" s="137"/>
      <c r="F50" s="137"/>
      <c r="G50" s="137"/>
      <c r="H50" s="137"/>
      <c r="I50" s="137"/>
      <c r="J50" s="137"/>
      <c r="K50" s="137"/>
      <c r="L50" s="137"/>
      <c r="M50" s="137"/>
      <c r="N50" s="137"/>
      <c r="O50" s="137"/>
      <c r="P50" s="137"/>
      <c r="Q50" s="137"/>
      <c r="R50" s="137"/>
      <c r="S50" s="137"/>
      <c r="T50" s="137"/>
      <c r="U50" s="137"/>
      <c r="V50" s="137"/>
      <c r="W50" s="137"/>
      <c r="X50" s="137"/>
      <c r="Y50" s="137"/>
    </row>
    <row r="51" spans="2:25" ht="13.65" customHeight="1" x14ac:dyDescent="0.25">
      <c r="C51" s="24">
        <f>$H$3</f>
        <v>2026</v>
      </c>
      <c r="D51" s="24">
        <f>$I$3</f>
        <v>2027</v>
      </c>
      <c r="E51" s="24">
        <f>$J$3</f>
        <v>2028</v>
      </c>
      <c r="F51" s="24">
        <f>$K$3</f>
        <v>2029</v>
      </c>
      <c r="G51" s="24">
        <f>$L$3</f>
        <v>2030</v>
      </c>
      <c r="H51" s="24">
        <f>$M$3</f>
        <v>2031</v>
      </c>
      <c r="I51" s="24">
        <f>$N$3</f>
        <v>2032</v>
      </c>
      <c r="J51" s="24">
        <f>$O$3</f>
        <v>2033</v>
      </c>
      <c r="K51" s="24">
        <f>$P$3</f>
        <v>2034</v>
      </c>
      <c r="L51" s="24">
        <f>$Q$3</f>
        <v>2035</v>
      </c>
      <c r="M51" s="24">
        <f>$R$3</f>
        <v>2036</v>
      </c>
      <c r="N51" s="24">
        <f>$S$3</f>
        <v>2037</v>
      </c>
      <c r="O51" s="24">
        <f t="shared" ref="O51:Y51" si="15">$S$3</f>
        <v>2037</v>
      </c>
      <c r="P51" s="24">
        <f t="shared" si="15"/>
        <v>2037</v>
      </c>
      <c r="Q51" s="24">
        <f t="shared" si="15"/>
        <v>2037</v>
      </c>
      <c r="R51" s="24">
        <f t="shared" si="15"/>
        <v>2037</v>
      </c>
      <c r="S51" s="24">
        <f t="shared" si="15"/>
        <v>2037</v>
      </c>
      <c r="T51" s="24">
        <f t="shared" si="15"/>
        <v>2037</v>
      </c>
      <c r="U51" s="24">
        <f t="shared" si="15"/>
        <v>2037</v>
      </c>
      <c r="V51" s="24">
        <f t="shared" si="15"/>
        <v>2037</v>
      </c>
      <c r="W51" s="24">
        <f t="shared" si="15"/>
        <v>2037</v>
      </c>
      <c r="X51" s="24">
        <f t="shared" si="15"/>
        <v>2037</v>
      </c>
      <c r="Y51" s="24">
        <f t="shared" si="15"/>
        <v>2037</v>
      </c>
    </row>
    <row r="52" spans="2:25" ht="13.65" customHeight="1" x14ac:dyDescent="0.25">
      <c r="B52" t="s">
        <v>405</v>
      </c>
      <c r="C52" s="15">
        <f>H41</f>
        <v>42537.25225907156</v>
      </c>
      <c r="D52" s="15">
        <f t="shared" ref="D52:N52" si="16">C52-C53</f>
        <v>36814.988583237202</v>
      </c>
      <c r="E52" s="15">
        <f t="shared" si="16"/>
        <v>30978.279633886159</v>
      </c>
      <c r="F52" s="15">
        <f t="shared" si="16"/>
        <v>25024.836505548094</v>
      </c>
      <c r="G52" s="15">
        <f t="shared" si="16"/>
        <v>18952.324514643267</v>
      </c>
      <c r="H52" s="15">
        <f t="shared" si="16"/>
        <v>12758.362283920345</v>
      </c>
      <c r="I52" s="15">
        <f t="shared" si="16"/>
        <v>6384.3686313759008</v>
      </c>
      <c r="J52" s="15">
        <f t="shared" si="16"/>
        <v>-174.88916989988138</v>
      </c>
      <c r="K52" s="15">
        <f t="shared" si="16"/>
        <v>-6924.7959393273095</v>
      </c>
      <c r="L52" s="15">
        <f t="shared" si="16"/>
        <v>-13870.893009502004</v>
      </c>
      <c r="M52" s="15">
        <f t="shared" si="16"/>
        <v>-21018.882775349128</v>
      </c>
      <c r="N52" s="15">
        <f t="shared" si="16"/>
        <v>-28374.633375501653</v>
      </c>
      <c r="O52" s="15">
        <f t="shared" ref="O52:Y52" si="17">N52-N53</f>
        <v>-35944.183509745853</v>
      </c>
      <c r="P52" s="15">
        <f t="shared" si="17"/>
        <v>-43733.74739648887</v>
      </c>
      <c r="Q52" s="15">
        <f t="shared" si="17"/>
        <v>-51749.719874318216</v>
      </c>
      <c r="R52" s="15">
        <f t="shared" si="17"/>
        <v>-59998.68165184134</v>
      </c>
      <c r="S52" s="15">
        <f t="shared" si="17"/>
        <v>-68487.40471011505</v>
      </c>
      <c r="T52" s="15">
        <f t="shared" si="17"/>
        <v>-77222.857862099991</v>
      </c>
      <c r="U52" s="15">
        <f t="shared" si="17"/>
        <v>-86212.212473704203</v>
      </c>
      <c r="V52" s="15">
        <f t="shared" si="17"/>
        <v>-86212.212473704203</v>
      </c>
      <c r="W52" s="15">
        <f t="shared" si="17"/>
        <v>-86212.212473704203</v>
      </c>
      <c r="X52" s="15">
        <f t="shared" si="17"/>
        <v>-86212.212473704203</v>
      </c>
      <c r="Y52" s="15">
        <f t="shared" si="17"/>
        <v>-86212.212473704203</v>
      </c>
    </row>
    <row r="53" spans="2:25" ht="13.65" customHeight="1" x14ac:dyDescent="0.25">
      <c r="B53" t="s">
        <v>404</v>
      </c>
      <c r="C53" s="15">
        <f t="shared" ref="C53:N53" si="18">H6</f>
        <v>5722.263675834356</v>
      </c>
      <c r="D53" s="15">
        <f t="shared" si="18"/>
        <v>5836.708949351043</v>
      </c>
      <c r="E53" s="15">
        <f t="shared" si="18"/>
        <v>5953.4431283380645</v>
      </c>
      <c r="F53" s="15">
        <f t="shared" si="18"/>
        <v>6072.5119909048262</v>
      </c>
      <c r="G53" s="15">
        <f t="shared" si="18"/>
        <v>6193.962230722922</v>
      </c>
      <c r="H53" s="15">
        <f t="shared" si="18"/>
        <v>6373.9936525444446</v>
      </c>
      <c r="I53" s="15">
        <f t="shared" si="18"/>
        <v>6559.2578012757822</v>
      </c>
      <c r="J53" s="15">
        <f t="shared" si="18"/>
        <v>6749.9067694274281</v>
      </c>
      <c r="K53" s="15">
        <f t="shared" si="18"/>
        <v>6946.0970701746946</v>
      </c>
      <c r="L53" s="15">
        <f t="shared" si="18"/>
        <v>7147.9897658471236</v>
      </c>
      <c r="M53" s="15">
        <f t="shared" si="18"/>
        <v>7355.7506001525271</v>
      </c>
      <c r="N53" s="15">
        <f t="shared" si="18"/>
        <v>7569.5501342441994</v>
      </c>
      <c r="O53" s="15">
        <f t="shared" ref="O53:Y53" si="19">T6</f>
        <v>7789.5638867430143</v>
      </c>
      <c r="P53" s="15">
        <f t="shared" si="19"/>
        <v>8015.9724778293466</v>
      </c>
      <c r="Q53" s="15">
        <f t="shared" si="19"/>
        <v>8248.96177752312</v>
      </c>
      <c r="R53" s="15">
        <f t="shared" si="19"/>
        <v>8488.7230582737047</v>
      </c>
      <c r="S53" s="15">
        <f t="shared" si="19"/>
        <v>8735.4531519849461</v>
      </c>
      <c r="T53" s="15">
        <f t="shared" si="19"/>
        <v>8989.3546116042107</v>
      </c>
      <c r="U53" s="15">
        <f t="shared" si="19"/>
        <v>0</v>
      </c>
      <c r="V53" s="15">
        <f t="shared" si="19"/>
        <v>0</v>
      </c>
      <c r="W53" s="15">
        <f t="shared" si="19"/>
        <v>0</v>
      </c>
      <c r="X53" s="15">
        <f t="shared" si="19"/>
        <v>0</v>
      </c>
      <c r="Y53" s="15">
        <f t="shared" si="19"/>
        <v>0</v>
      </c>
    </row>
    <row r="54" spans="2:25" ht="13.65" customHeight="1" x14ac:dyDescent="0.25">
      <c r="B54" t="s">
        <v>406</v>
      </c>
      <c r="C54" s="252">
        <f>COUNTIF(C52:Y52,"&gt;0")</f>
        <v>7</v>
      </c>
      <c r="D54" s="15"/>
      <c r="E54" s="15"/>
      <c r="F54" s="15"/>
      <c r="G54" s="15"/>
      <c r="H54" s="15"/>
      <c r="I54" s="15"/>
      <c r="J54" s="15"/>
      <c r="K54" s="15"/>
      <c r="L54" s="15"/>
      <c r="M54" s="15"/>
      <c r="N54" s="15"/>
      <c r="O54" s="15"/>
      <c r="P54" s="15"/>
      <c r="Q54" s="15"/>
      <c r="R54" s="15"/>
      <c r="S54" s="15"/>
      <c r="T54" s="15"/>
      <c r="U54" s="15"/>
      <c r="V54" s="15"/>
      <c r="W54" s="15"/>
      <c r="X54" s="15"/>
      <c r="Y54" s="15"/>
    </row>
    <row r="55" spans="2:25" ht="13.65" customHeight="1" x14ac:dyDescent="0.25">
      <c r="C55" s="15"/>
      <c r="D55" s="15"/>
      <c r="E55" s="15"/>
      <c r="F55" s="15"/>
      <c r="G55" s="15"/>
      <c r="H55" s="15"/>
      <c r="I55" s="15"/>
      <c r="J55" s="15"/>
      <c r="K55" s="15"/>
      <c r="L55" s="15"/>
      <c r="M55" s="15"/>
      <c r="N55" s="15"/>
      <c r="O55" s="15"/>
      <c r="P55" s="15"/>
      <c r="Q55" s="15"/>
      <c r="R55" s="15"/>
      <c r="S55" s="15"/>
      <c r="T55" s="15"/>
      <c r="U55" s="15"/>
      <c r="V55" s="15"/>
      <c r="W55" s="15"/>
      <c r="X55" s="15"/>
      <c r="Y55" s="15"/>
    </row>
    <row r="56" spans="2:25" ht="13.65" customHeight="1" x14ac:dyDescent="0.25">
      <c r="B56" s="137" t="str">
        <f>B10&amp;" Club Payback Period"</f>
        <v>Caribbean Club Payback Period</v>
      </c>
      <c r="C56" s="137"/>
      <c r="D56" s="137"/>
      <c r="E56" s="137"/>
      <c r="F56" s="137"/>
      <c r="G56" s="137"/>
      <c r="H56" s="137"/>
      <c r="I56" s="137"/>
      <c r="J56" s="137"/>
      <c r="K56" s="137"/>
      <c r="L56" s="137"/>
      <c r="M56" s="137"/>
      <c r="N56" s="137"/>
      <c r="O56" s="137"/>
      <c r="P56" s="137"/>
      <c r="Q56" s="137"/>
      <c r="R56" s="137"/>
      <c r="S56" s="137"/>
      <c r="T56" s="137"/>
      <c r="U56" s="137"/>
      <c r="V56" s="137"/>
      <c r="W56" s="137"/>
      <c r="X56" s="137"/>
      <c r="Y56" s="137"/>
    </row>
    <row r="57" spans="2:25" ht="13.65" customHeight="1" x14ac:dyDescent="0.25">
      <c r="C57" s="24">
        <f>$H$3</f>
        <v>2026</v>
      </c>
      <c r="D57" s="24">
        <f>$I$3</f>
        <v>2027</v>
      </c>
      <c r="E57" s="24">
        <f>$J$3</f>
        <v>2028</v>
      </c>
      <c r="F57" s="24">
        <f>$K$3</f>
        <v>2029</v>
      </c>
      <c r="G57" s="24">
        <f>$L$3</f>
        <v>2030</v>
      </c>
      <c r="H57" s="24">
        <f>$M$3</f>
        <v>2031</v>
      </c>
      <c r="I57" s="24">
        <f>$N$3</f>
        <v>2032</v>
      </c>
      <c r="J57" s="24">
        <f>$O$3</f>
        <v>2033</v>
      </c>
      <c r="K57" s="24">
        <f>$P$3</f>
        <v>2034</v>
      </c>
      <c r="L57" s="24">
        <f>$Q$3</f>
        <v>2035</v>
      </c>
      <c r="M57" s="24">
        <f>$R$3</f>
        <v>2036</v>
      </c>
      <c r="N57" s="24">
        <f>$S$3</f>
        <v>2037</v>
      </c>
      <c r="O57" s="24">
        <f t="shared" ref="O57:Y57" si="20">$S$3</f>
        <v>2037</v>
      </c>
      <c r="P57" s="24">
        <f t="shared" si="20"/>
        <v>2037</v>
      </c>
      <c r="Q57" s="24">
        <f t="shared" si="20"/>
        <v>2037</v>
      </c>
      <c r="R57" s="24">
        <f t="shared" si="20"/>
        <v>2037</v>
      </c>
      <c r="S57" s="24">
        <f t="shared" si="20"/>
        <v>2037</v>
      </c>
      <c r="T57" s="24">
        <f t="shared" si="20"/>
        <v>2037</v>
      </c>
      <c r="U57" s="24">
        <f t="shared" si="20"/>
        <v>2037</v>
      </c>
      <c r="V57" s="24">
        <f t="shared" si="20"/>
        <v>2037</v>
      </c>
      <c r="W57" s="24">
        <f t="shared" si="20"/>
        <v>2037</v>
      </c>
      <c r="X57" s="24">
        <f t="shared" si="20"/>
        <v>2037</v>
      </c>
      <c r="Y57" s="24">
        <f t="shared" si="20"/>
        <v>2037</v>
      </c>
    </row>
    <row r="58" spans="2:25" ht="13.65" customHeight="1" x14ac:dyDescent="0.25">
      <c r="B58" t="s">
        <v>405</v>
      </c>
      <c r="C58" s="15">
        <f>H41</f>
        <v>42537.25225907156</v>
      </c>
      <c r="D58" s="15">
        <f t="shared" ref="D58:N58" si="21">C58-C59</f>
        <v>36602.503925415687</v>
      </c>
      <c r="E58" s="15">
        <f t="shared" si="21"/>
        <v>30549.060625086699</v>
      </c>
      <c r="F58" s="15">
        <f t="shared" si="21"/>
        <v>24374.548458751131</v>
      </c>
      <c r="G58" s="15">
        <f t="shared" si="21"/>
        <v>18076.546049088851</v>
      </c>
      <c r="H58" s="15">
        <f t="shared" si="21"/>
        <v>11652.583591233328</v>
      </c>
      <c r="I58" s="15">
        <f t="shared" si="21"/>
        <v>5041.9046097801402</v>
      </c>
      <c r="J58" s="15">
        <f t="shared" si="21"/>
        <v>-1760.9179288832383</v>
      </c>
      <c r="K58" s="15">
        <f t="shared" si="21"/>
        <v>-8761.4687985267883</v>
      </c>
      <c r="L58" s="15">
        <f t="shared" si="21"/>
        <v>-15965.495097895187</v>
      </c>
      <c r="M58" s="15">
        <f t="shared" si="21"/>
        <v>-23378.910968785654</v>
      </c>
      <c r="N58" s="15">
        <f t="shared" si="21"/>
        <v>-31007.802451259704</v>
      </c>
      <c r="O58" s="15">
        <f t="shared" ref="O58:Y58" si="22">N58-N59</f>
        <v>-38858.432479974712</v>
      </c>
      <c r="P58" s="15">
        <f t="shared" si="22"/>
        <v>-46937.246025736989</v>
      </c>
      <c r="Q58" s="15">
        <f t="shared" si="22"/>
        <v>-55250.875386497355</v>
      </c>
      <c r="R58" s="15">
        <f t="shared" si="22"/>
        <v>-63806.145632132822</v>
      </c>
      <c r="S58" s="15">
        <f t="shared" si="22"/>
        <v>-72610.080207484323</v>
      </c>
      <c r="T58" s="15">
        <f t="shared" si="22"/>
        <v>-81669.906698250226</v>
      </c>
      <c r="U58" s="15">
        <f t="shared" si="22"/>
        <v>-90993.062764469243</v>
      </c>
      <c r="V58" s="15">
        <f t="shared" si="22"/>
        <v>-90993.062764469243</v>
      </c>
      <c r="W58" s="15">
        <f t="shared" si="22"/>
        <v>-90993.062764469243</v>
      </c>
      <c r="X58" s="15">
        <f t="shared" si="22"/>
        <v>-90993.062764469243</v>
      </c>
      <c r="Y58" s="15">
        <f t="shared" si="22"/>
        <v>-90993.062764469243</v>
      </c>
    </row>
    <row r="59" spans="2:25" ht="13.65" customHeight="1" x14ac:dyDescent="0.25">
      <c r="B59" t="s">
        <v>404</v>
      </c>
      <c r="C59" s="15">
        <f t="shared" ref="C59:N59" si="23">H12</f>
        <v>5934.7483336558698</v>
      </c>
      <c r="D59" s="15">
        <f t="shared" si="23"/>
        <v>6053.4433003289869</v>
      </c>
      <c r="E59" s="15">
        <f t="shared" si="23"/>
        <v>6174.5121663355667</v>
      </c>
      <c r="F59" s="15">
        <f t="shared" si="23"/>
        <v>6298.0024096622783</v>
      </c>
      <c r="G59" s="15">
        <f t="shared" si="23"/>
        <v>6423.962457855524</v>
      </c>
      <c r="H59" s="15">
        <f t="shared" si="23"/>
        <v>6610.6789814531876</v>
      </c>
      <c r="I59" s="15">
        <f t="shared" si="23"/>
        <v>6802.8225386633785</v>
      </c>
      <c r="J59" s="15">
        <f t="shared" si="23"/>
        <v>7000.5508696435509</v>
      </c>
      <c r="K59" s="15">
        <f t="shared" si="23"/>
        <v>7204.0262993683991</v>
      </c>
      <c r="L59" s="15">
        <f t="shared" si="23"/>
        <v>7413.4158708904652</v>
      </c>
      <c r="M59" s="15">
        <f t="shared" si="23"/>
        <v>7628.8914824740505</v>
      </c>
      <c r="N59" s="15">
        <f t="shared" si="23"/>
        <v>7850.6300287150098</v>
      </c>
      <c r="O59" s="15">
        <f t="shared" ref="O59:Y59" si="24">T12</f>
        <v>8078.8135457622784</v>
      </c>
      <c r="P59" s="15">
        <f t="shared" si="24"/>
        <v>8313.6293607603639</v>
      </c>
      <c r="Q59" s="15">
        <f t="shared" si="24"/>
        <v>8555.2702456354655</v>
      </c>
      <c r="R59" s="15">
        <f t="shared" si="24"/>
        <v>8803.9345753514954</v>
      </c>
      <c r="S59" s="15">
        <f t="shared" si="24"/>
        <v>9059.826490765905</v>
      </c>
      <c r="T59" s="15">
        <f t="shared" si="24"/>
        <v>9323.1560662190168</v>
      </c>
      <c r="U59" s="15">
        <f t="shared" si="24"/>
        <v>0</v>
      </c>
      <c r="V59" s="15">
        <f t="shared" si="24"/>
        <v>0</v>
      </c>
      <c r="W59" s="15">
        <f t="shared" si="24"/>
        <v>0</v>
      </c>
      <c r="X59" s="15">
        <f t="shared" si="24"/>
        <v>0</v>
      </c>
      <c r="Y59" s="15">
        <f t="shared" si="24"/>
        <v>0</v>
      </c>
    </row>
    <row r="60" spans="2:25" ht="13.65" customHeight="1" x14ac:dyDescent="0.25">
      <c r="B60" t="s">
        <v>406</v>
      </c>
      <c r="C60" s="252">
        <f>COUNTIF(C58:Y58,"&gt;0")</f>
        <v>7</v>
      </c>
      <c r="D60" s="15"/>
      <c r="E60" s="15"/>
      <c r="F60" s="15"/>
      <c r="G60" s="15"/>
      <c r="H60" s="15"/>
      <c r="I60" s="15"/>
      <c r="J60" s="15"/>
      <c r="K60" s="15"/>
      <c r="L60" s="15"/>
      <c r="M60" s="15"/>
      <c r="N60" s="15"/>
      <c r="O60" s="15"/>
      <c r="P60" s="15"/>
      <c r="Q60" s="15"/>
      <c r="R60" s="15"/>
      <c r="S60" s="15"/>
      <c r="T60" s="15"/>
      <c r="U60" s="15"/>
      <c r="V60" s="15"/>
      <c r="W60" s="15"/>
      <c r="X60" s="15"/>
      <c r="Y60" s="15"/>
    </row>
    <row r="61" spans="2:25" ht="13.65" customHeight="1" x14ac:dyDescent="0.25">
      <c r="C61" s="15"/>
      <c r="D61" s="15"/>
      <c r="E61" s="15"/>
      <c r="F61" s="15"/>
      <c r="G61" s="15"/>
      <c r="H61" s="15"/>
      <c r="I61" s="15"/>
      <c r="J61" s="15"/>
      <c r="K61" s="15"/>
      <c r="L61" s="15"/>
      <c r="M61" s="15"/>
      <c r="N61" s="15"/>
      <c r="O61" s="15"/>
      <c r="P61" s="15"/>
      <c r="Q61" s="15"/>
      <c r="R61" s="15"/>
      <c r="S61" s="15"/>
      <c r="T61" s="15"/>
      <c r="U61" s="15"/>
      <c r="V61" s="15"/>
      <c r="W61" s="15"/>
      <c r="X61" s="15"/>
      <c r="Y61" s="15"/>
    </row>
    <row r="62" spans="2:25" ht="13.65" customHeight="1" x14ac:dyDescent="0.25">
      <c r="B62" s="137" t="str">
        <f>B16&amp;" Club Payback Period"</f>
        <v>South America Club Payback Period</v>
      </c>
      <c r="C62" s="137"/>
      <c r="D62" s="137"/>
      <c r="E62" s="137"/>
      <c r="F62" s="137"/>
      <c r="G62" s="137"/>
      <c r="H62" s="137"/>
      <c r="I62" s="137"/>
      <c r="J62" s="137"/>
      <c r="K62" s="137"/>
      <c r="L62" s="137"/>
      <c r="M62" s="137"/>
      <c r="N62" s="137"/>
      <c r="O62" s="137"/>
      <c r="P62" s="137"/>
      <c r="Q62" s="137"/>
      <c r="R62" s="137"/>
      <c r="S62" s="137"/>
      <c r="T62" s="137"/>
      <c r="U62" s="137"/>
      <c r="V62" s="137"/>
      <c r="W62" s="137"/>
      <c r="X62" s="137"/>
      <c r="Y62" s="137"/>
    </row>
    <row r="63" spans="2:25" ht="13.65" customHeight="1" x14ac:dyDescent="0.25">
      <c r="C63" s="24">
        <f>$H$3</f>
        <v>2026</v>
      </c>
      <c r="D63" s="24">
        <f>$I$3</f>
        <v>2027</v>
      </c>
      <c r="E63" s="24">
        <f>$J$3</f>
        <v>2028</v>
      </c>
      <c r="F63" s="24">
        <f>$K$3</f>
        <v>2029</v>
      </c>
      <c r="G63" s="24">
        <f>$L$3</f>
        <v>2030</v>
      </c>
      <c r="H63" s="24">
        <f>$M$3</f>
        <v>2031</v>
      </c>
      <c r="I63" s="24">
        <f>$N$3</f>
        <v>2032</v>
      </c>
      <c r="J63" s="24">
        <f>$O$3</f>
        <v>2033</v>
      </c>
      <c r="K63" s="24">
        <f>$P$3</f>
        <v>2034</v>
      </c>
      <c r="L63" s="24">
        <f>$Q$3</f>
        <v>2035</v>
      </c>
      <c r="M63" s="24">
        <f>$R$3</f>
        <v>2036</v>
      </c>
      <c r="N63" s="24">
        <f>$S$3</f>
        <v>2037</v>
      </c>
      <c r="O63" s="24">
        <f t="shared" ref="O63:Y63" si="25">$S$3</f>
        <v>2037</v>
      </c>
      <c r="P63" s="24">
        <f t="shared" si="25"/>
        <v>2037</v>
      </c>
      <c r="Q63" s="24">
        <f t="shared" si="25"/>
        <v>2037</v>
      </c>
      <c r="R63" s="24">
        <f t="shared" si="25"/>
        <v>2037</v>
      </c>
      <c r="S63" s="24">
        <f t="shared" si="25"/>
        <v>2037</v>
      </c>
      <c r="T63" s="24">
        <f t="shared" si="25"/>
        <v>2037</v>
      </c>
      <c r="U63" s="24">
        <f t="shared" si="25"/>
        <v>2037</v>
      </c>
      <c r="V63" s="24">
        <f t="shared" si="25"/>
        <v>2037</v>
      </c>
      <c r="W63" s="24">
        <f t="shared" si="25"/>
        <v>2037</v>
      </c>
      <c r="X63" s="24">
        <f t="shared" si="25"/>
        <v>2037</v>
      </c>
      <c r="Y63" s="24">
        <f t="shared" si="25"/>
        <v>2037</v>
      </c>
    </row>
    <row r="64" spans="2:25" ht="13.65" customHeight="1" x14ac:dyDescent="0.25">
      <c r="B64" t="s">
        <v>405</v>
      </c>
      <c r="C64" s="15">
        <f>H41</f>
        <v>42537.25225907156</v>
      </c>
      <c r="D64" s="15">
        <f t="shared" ref="D64:N64" si="26">C64-C65</f>
        <v>38994.046298146823</v>
      </c>
      <c r="E64" s="15">
        <f t="shared" si="26"/>
        <v>35379.97621800359</v>
      </c>
      <c r="F64" s="15">
        <f t="shared" si="26"/>
        <v>31693.624736257494</v>
      </c>
      <c r="G64" s="15">
        <f t="shared" si="26"/>
        <v>27933.546224876474</v>
      </c>
      <c r="H64" s="15">
        <f t="shared" si="26"/>
        <v>24098.266143267832</v>
      </c>
      <c r="I64" s="15">
        <f t="shared" si="26"/>
        <v>20151.511225285321</v>
      </c>
      <c r="J64" s="15">
        <f t="shared" si="26"/>
        <v>16090.041384447599</v>
      </c>
      <c r="K64" s="15">
        <f t="shared" si="26"/>
        <v>11910.52235911462</v>
      </c>
      <c r="L64" s="15">
        <f t="shared" si="26"/>
        <v>7609.5229752272162</v>
      </c>
      <c r="M64" s="15">
        <f t="shared" si="26"/>
        <v>3183.5123294864488</v>
      </c>
      <c r="N64" s="15">
        <f t="shared" si="26"/>
        <v>-1371.1431093396823</v>
      </c>
      <c r="O64" s="15">
        <f t="shared" ref="O64:Y64" si="27">N64-N65</f>
        <v>-6058.1824833618948</v>
      </c>
      <c r="P64" s="15">
        <f t="shared" si="27"/>
        <v>-10881.453615216476</v>
      </c>
      <c r="Q64" s="15">
        <f t="shared" si="27"/>
        <v>-15844.916166933355</v>
      </c>
      <c r="R64" s="15">
        <f t="shared" si="27"/>
        <v>-20952.644890618671</v>
      </c>
      <c r="S64" s="15">
        <f t="shared" si="27"/>
        <v>-26208.83297362048</v>
      </c>
      <c r="T64" s="15">
        <f t="shared" si="27"/>
        <v>-31617.795480923825</v>
      </c>
      <c r="U64" s="15">
        <f t="shared" si="27"/>
        <v>-37183.972897601183</v>
      </c>
      <c r="V64" s="15">
        <f t="shared" si="27"/>
        <v>-37183.972897601183</v>
      </c>
      <c r="W64" s="15">
        <f t="shared" si="27"/>
        <v>-37183.972897601183</v>
      </c>
      <c r="X64" s="15">
        <f t="shared" si="27"/>
        <v>-37183.972897601183</v>
      </c>
      <c r="Y64" s="15">
        <f t="shared" si="27"/>
        <v>-37183.972897601183</v>
      </c>
    </row>
    <row r="65" spans="2:25" ht="13.65" customHeight="1" x14ac:dyDescent="0.25">
      <c r="B65" t="s">
        <v>404</v>
      </c>
      <c r="C65" s="15">
        <f t="shared" ref="C65:N65" si="28">H18</f>
        <v>3543.2059609247381</v>
      </c>
      <c r="D65" s="15">
        <f t="shared" si="28"/>
        <v>3614.0700801432331</v>
      </c>
      <c r="E65" s="15">
        <f t="shared" si="28"/>
        <v>3686.3514817460978</v>
      </c>
      <c r="F65" s="15">
        <f t="shared" si="28"/>
        <v>3760.0785113810202</v>
      </c>
      <c r="G65" s="15">
        <f t="shared" si="28"/>
        <v>3835.2800816086406</v>
      </c>
      <c r="H65" s="15">
        <f t="shared" si="28"/>
        <v>3946.7549179825105</v>
      </c>
      <c r="I65" s="15">
        <f t="shared" si="28"/>
        <v>4061.4698408377226</v>
      </c>
      <c r="J65" s="15">
        <f t="shared" si="28"/>
        <v>4179.5190253329774</v>
      </c>
      <c r="K65" s="15">
        <f t="shared" si="28"/>
        <v>4300.9993838874043</v>
      </c>
      <c r="L65" s="15">
        <f t="shared" si="28"/>
        <v>4426.0106457407674</v>
      </c>
      <c r="M65" s="15">
        <f t="shared" si="28"/>
        <v>4554.6554388261311</v>
      </c>
      <c r="N65" s="15">
        <f t="shared" si="28"/>
        <v>4687.0393740222125</v>
      </c>
      <c r="O65" s="15">
        <f t="shared" ref="O65:Y65" si="29">T18</f>
        <v>4823.2711318545807</v>
      </c>
      <c r="P65" s="15">
        <f t="shared" si="29"/>
        <v>4963.4625517168779</v>
      </c>
      <c r="Q65" s="15">
        <f t="shared" si="29"/>
        <v>5107.7287236853144</v>
      </c>
      <c r="R65" s="15">
        <f t="shared" si="29"/>
        <v>5256.1880830018099</v>
      </c>
      <c r="S65" s="15">
        <f t="shared" si="29"/>
        <v>5408.9625073033467</v>
      </c>
      <c r="T65" s="15">
        <f t="shared" si="29"/>
        <v>5566.1774166773539</v>
      </c>
      <c r="U65" s="15">
        <f t="shared" si="29"/>
        <v>0</v>
      </c>
      <c r="V65" s="15">
        <f t="shared" si="29"/>
        <v>0</v>
      </c>
      <c r="W65" s="15">
        <f t="shared" si="29"/>
        <v>0</v>
      </c>
      <c r="X65" s="15">
        <f t="shared" si="29"/>
        <v>0</v>
      </c>
      <c r="Y65" s="15">
        <f t="shared" si="29"/>
        <v>0</v>
      </c>
    </row>
    <row r="66" spans="2:25" ht="13.65" customHeight="1" x14ac:dyDescent="0.25">
      <c r="B66" t="s">
        <v>406</v>
      </c>
      <c r="C66" s="252">
        <f>COUNTIF(C64:Y64,"&gt;0")</f>
        <v>11</v>
      </c>
      <c r="D66" s="15"/>
      <c r="E66" s="15"/>
      <c r="F66" s="15"/>
      <c r="G66" s="15"/>
      <c r="H66" s="15"/>
      <c r="I66" s="15"/>
      <c r="J66" s="15"/>
      <c r="K66" s="15"/>
      <c r="L66" s="15"/>
      <c r="M66" s="15"/>
      <c r="N66" s="15"/>
    </row>
    <row r="67" spans="2:25" ht="13.65" customHeight="1" x14ac:dyDescent="0.25">
      <c r="C67" s="15"/>
      <c r="D67" s="15"/>
      <c r="E67" s="15"/>
      <c r="F67" s="15"/>
      <c r="G67" s="15"/>
      <c r="H67" s="15"/>
      <c r="I67" s="15"/>
      <c r="J67" s="15"/>
      <c r="K67" s="15"/>
      <c r="L67" s="15"/>
      <c r="M67" s="15"/>
      <c r="N67" s="15"/>
    </row>
    <row r="68" spans="2:25" ht="13.65" customHeight="1" x14ac:dyDescent="0.25">
      <c r="B68" s="199"/>
      <c r="C68" s="199" t="str">
        <f>Model!C144</f>
        <v>Clubs (Stores)</v>
      </c>
      <c r="D68" s="199"/>
      <c r="E68" s="199"/>
      <c r="F68" s="199"/>
      <c r="G68" s="199"/>
      <c r="H68" s="199"/>
      <c r="I68" s="199"/>
      <c r="J68" s="199"/>
      <c r="K68" s="199"/>
      <c r="L68" s="199"/>
      <c r="M68" s="59"/>
    </row>
    <row r="69" spans="2:25" ht="13.65" customHeight="1" x14ac:dyDescent="0.25">
      <c r="C69" s="171">
        <f>Model!C145</f>
        <v>2021</v>
      </c>
      <c r="D69" s="171">
        <f>Model!D145</f>
        <v>2022</v>
      </c>
      <c r="E69" s="171">
        <f>Model!E145</f>
        <v>2023</v>
      </c>
      <c r="F69" s="171">
        <f>Model!F145</f>
        <v>2024</v>
      </c>
      <c r="G69" s="172">
        <f>Model!G145</f>
        <v>2025</v>
      </c>
      <c r="H69" s="24">
        <f>Model!H145</f>
        <v>2026</v>
      </c>
      <c r="I69" s="24">
        <f>Model!I145</f>
        <v>2027</v>
      </c>
      <c r="J69" s="24">
        <f>Model!J145</f>
        <v>2028</v>
      </c>
      <c r="K69" s="24">
        <f>Model!K145</f>
        <v>2029</v>
      </c>
      <c r="L69" s="24">
        <f>Model!L145</f>
        <v>2030</v>
      </c>
      <c r="M69" s="59"/>
    </row>
    <row r="70" spans="2:25" ht="13.65" customHeight="1" x14ac:dyDescent="0.25">
      <c r="B70" t="s">
        <v>299</v>
      </c>
      <c r="C70" s="15"/>
      <c r="D70" s="15"/>
      <c r="E70" s="15"/>
      <c r="F70" s="15"/>
      <c r="G70" s="14"/>
      <c r="H70" s="15"/>
      <c r="I70" s="15"/>
      <c r="J70" s="15"/>
      <c r="K70" s="15"/>
      <c r="L70" s="15"/>
      <c r="M70" s="59"/>
    </row>
    <row r="71" spans="2:25" ht="13.65" customHeight="1" x14ac:dyDescent="0.25">
      <c r="B71" t="s">
        <v>315</v>
      </c>
      <c r="C71" s="59">
        <f>Model!C147</f>
        <v>26</v>
      </c>
      <c r="D71" s="59">
        <f>Model!D147</f>
        <v>27</v>
      </c>
      <c r="E71" s="59">
        <f>Model!E147</f>
        <v>28</v>
      </c>
      <c r="F71" s="59">
        <f>Model!F147</f>
        <v>30</v>
      </c>
      <c r="G71" s="60">
        <f>Model!G147</f>
        <v>32</v>
      </c>
      <c r="H71" s="15">
        <f>Model!H147</f>
        <v>33</v>
      </c>
      <c r="I71" s="15">
        <f>Model!I147</f>
        <v>35</v>
      </c>
      <c r="J71" s="15">
        <f>Model!J147</f>
        <v>36</v>
      </c>
      <c r="K71" s="15">
        <f>Model!K147</f>
        <v>36</v>
      </c>
      <c r="L71" s="15">
        <f>Model!L147</f>
        <v>37</v>
      </c>
      <c r="M71" s="15"/>
    </row>
    <row r="72" spans="2:25" ht="13.65" customHeight="1" x14ac:dyDescent="0.25">
      <c r="B72" t="s">
        <v>316</v>
      </c>
      <c r="C72" s="59">
        <f>Model!C148</f>
        <v>13</v>
      </c>
      <c r="D72" s="59">
        <f>Model!D148</f>
        <v>14</v>
      </c>
      <c r="E72" s="59">
        <f>Model!E148</f>
        <v>14</v>
      </c>
      <c r="F72" s="59">
        <f>Model!F148</f>
        <v>14</v>
      </c>
      <c r="G72" s="60">
        <f>Model!G148</f>
        <v>14</v>
      </c>
      <c r="H72" s="15">
        <f>Model!H148</f>
        <v>16</v>
      </c>
      <c r="I72" s="15">
        <f>Model!I148</f>
        <v>17</v>
      </c>
      <c r="J72" s="15">
        <f>Model!J148</f>
        <v>17</v>
      </c>
      <c r="K72" s="15">
        <f>Model!K148</f>
        <v>18</v>
      </c>
      <c r="L72" s="15">
        <f>Model!L148</f>
        <v>18</v>
      </c>
      <c r="M72" s="15"/>
    </row>
    <row r="73" spans="2:25" ht="13.65" customHeight="1" x14ac:dyDescent="0.25">
      <c r="B73" t="s">
        <v>320</v>
      </c>
      <c r="C73" s="59">
        <f>Model!C149</f>
        <v>8</v>
      </c>
      <c r="D73" s="59">
        <f>Model!D149</f>
        <v>9</v>
      </c>
      <c r="E73" s="59">
        <f>Model!E149</f>
        <v>9</v>
      </c>
      <c r="F73" s="59">
        <f>Model!F149</f>
        <v>10</v>
      </c>
      <c r="G73" s="60">
        <f>Model!G149</f>
        <v>10</v>
      </c>
      <c r="H73" s="15">
        <f>Model!H149</f>
        <v>10</v>
      </c>
      <c r="I73" s="15">
        <f>Model!I149</f>
        <v>11</v>
      </c>
      <c r="J73" s="15">
        <f>Model!J149</f>
        <v>11</v>
      </c>
      <c r="K73" s="15">
        <f>Model!K149</f>
        <v>12</v>
      </c>
      <c r="L73" s="15">
        <f>Model!L149</f>
        <v>12</v>
      </c>
    </row>
    <row r="74" spans="2:25" ht="13.65" customHeight="1" x14ac:dyDescent="0.25">
      <c r="B74" s="120" t="s">
        <v>322</v>
      </c>
      <c r="C74">
        <f>Model!C150</f>
        <v>0</v>
      </c>
      <c r="D74">
        <f>Model!D150</f>
        <v>0</v>
      </c>
      <c r="E74">
        <f>Model!E150</f>
        <v>0</v>
      </c>
      <c r="F74">
        <f>Model!F150</f>
        <v>0</v>
      </c>
      <c r="G74" s="13">
        <f>Model!G150</f>
        <v>0</v>
      </c>
      <c r="H74">
        <f>Model!H150</f>
        <v>0</v>
      </c>
      <c r="I74">
        <f>Model!I150</f>
        <v>0</v>
      </c>
      <c r="J74">
        <f>Model!J150</f>
        <v>0</v>
      </c>
      <c r="K74">
        <f>Model!K150</f>
        <v>0</v>
      </c>
      <c r="L74">
        <f>Model!L150</f>
        <v>0</v>
      </c>
    </row>
    <row r="75" spans="2:25" ht="13.65" customHeight="1" x14ac:dyDescent="0.25">
      <c r="B75" t="s">
        <v>315</v>
      </c>
      <c r="C75" s="31">
        <f>Model!C151</f>
        <v>0</v>
      </c>
      <c r="D75" s="15">
        <f>Model!D151</f>
        <v>1</v>
      </c>
      <c r="E75" s="15">
        <f>Model!E151</f>
        <v>1</v>
      </c>
      <c r="F75" s="15">
        <f>Model!F151</f>
        <v>2</v>
      </c>
      <c r="G75" s="14">
        <f>Model!G151</f>
        <v>2</v>
      </c>
      <c r="H75" s="43">
        <f>Model!H151</f>
        <v>1</v>
      </c>
      <c r="I75" s="43">
        <f>Model!I151</f>
        <v>2</v>
      </c>
      <c r="J75" s="59">
        <f>Model!J151</f>
        <v>1</v>
      </c>
      <c r="K75" s="59">
        <f>Model!K151</f>
        <v>0</v>
      </c>
      <c r="L75" s="59">
        <f>Model!L151</f>
        <v>1</v>
      </c>
    </row>
    <row r="76" spans="2:25" ht="13.65" customHeight="1" x14ac:dyDescent="0.25">
      <c r="B76" t="s">
        <v>316</v>
      </c>
      <c r="C76" s="31">
        <f>Model!C152</f>
        <v>0</v>
      </c>
      <c r="D76" s="15">
        <f>Model!D152</f>
        <v>1</v>
      </c>
      <c r="E76" s="15">
        <f>Model!E152</f>
        <v>0</v>
      </c>
      <c r="F76" s="15">
        <f>Model!F152</f>
        <v>0</v>
      </c>
      <c r="G76" s="14">
        <f>Model!G152</f>
        <v>0</v>
      </c>
      <c r="H76" s="43">
        <f>Model!H152</f>
        <v>2</v>
      </c>
      <c r="I76" s="43">
        <f>Model!I152</f>
        <v>1</v>
      </c>
      <c r="J76" s="59">
        <f>Model!J152</f>
        <v>0</v>
      </c>
      <c r="K76" s="59">
        <f>Model!K152</f>
        <v>1</v>
      </c>
      <c r="L76" s="59">
        <f>Model!L152</f>
        <v>0</v>
      </c>
    </row>
    <row r="77" spans="2:25" ht="13.65" customHeight="1" x14ac:dyDescent="0.25">
      <c r="B77" t="s">
        <v>320</v>
      </c>
      <c r="C77" s="19">
        <f>Model!C153</f>
        <v>0</v>
      </c>
      <c r="D77" s="17">
        <f>Model!D153</f>
        <v>1</v>
      </c>
      <c r="E77" s="17">
        <f>Model!E153</f>
        <v>0</v>
      </c>
      <c r="F77" s="17">
        <f>Model!F153</f>
        <v>1</v>
      </c>
      <c r="G77" s="16">
        <f>Model!G153</f>
        <v>0</v>
      </c>
      <c r="H77" s="145">
        <f>Model!H153</f>
        <v>0</v>
      </c>
      <c r="I77" s="75">
        <f>Model!I153</f>
        <v>1</v>
      </c>
      <c r="J77" s="169">
        <f>Model!J153</f>
        <v>0</v>
      </c>
      <c r="K77" s="169">
        <f>Model!K153</f>
        <v>1</v>
      </c>
      <c r="L77" s="169">
        <f>Model!L153</f>
        <v>0</v>
      </c>
    </row>
    <row r="78" spans="2:25" ht="13.65" customHeight="1" x14ac:dyDescent="0.25">
      <c r="B78" t="s">
        <v>322</v>
      </c>
      <c r="C78" s="19">
        <f>Model!C154</f>
        <v>0</v>
      </c>
      <c r="D78" s="17">
        <f>Model!D154</f>
        <v>3</v>
      </c>
      <c r="E78" s="17">
        <f>Model!E154</f>
        <v>1</v>
      </c>
      <c r="F78" s="17">
        <f>Model!F154</f>
        <v>3</v>
      </c>
      <c r="G78" s="202">
        <f>Model!G154</f>
        <v>2</v>
      </c>
      <c r="H78" s="17">
        <f>Model!H154</f>
        <v>3</v>
      </c>
      <c r="I78" s="17">
        <f>Model!I154</f>
        <v>4</v>
      </c>
      <c r="J78" s="17">
        <f>Model!J154</f>
        <v>1</v>
      </c>
      <c r="K78" s="17">
        <f>Model!K154</f>
        <v>2</v>
      </c>
      <c r="L78" s="17">
        <f>Model!L154</f>
        <v>1</v>
      </c>
    </row>
    <row r="79" spans="2:25" ht="13.65" customHeight="1" x14ac:dyDescent="0.25">
      <c r="B79" t="s">
        <v>321</v>
      </c>
      <c r="C79" s="15">
        <f>Model!C155</f>
        <v>47</v>
      </c>
      <c r="D79" s="15">
        <f>Model!D155</f>
        <v>50</v>
      </c>
      <c r="E79" s="15">
        <f>Model!E155</f>
        <v>51</v>
      </c>
      <c r="F79" s="15">
        <f>Model!F155</f>
        <v>54</v>
      </c>
      <c r="G79" s="14">
        <f>Model!G155</f>
        <v>56</v>
      </c>
      <c r="H79" s="15">
        <f>Model!H155</f>
        <v>59</v>
      </c>
      <c r="I79" s="15">
        <f>Model!I155</f>
        <v>63</v>
      </c>
      <c r="J79" s="15">
        <f>Model!J155</f>
        <v>64</v>
      </c>
      <c r="K79" s="15">
        <f>Model!K155</f>
        <v>66</v>
      </c>
      <c r="L79" s="15">
        <f>Model!L155</f>
        <v>67</v>
      </c>
    </row>
    <row r="82" spans="2:7" ht="13.65" customHeight="1" x14ac:dyDescent="0.25">
      <c r="C82" t="str">
        <f>B43</f>
        <v>NPV of stores in Central America</v>
      </c>
    </row>
    <row r="83" spans="2:7" ht="13.65" customHeight="1" x14ac:dyDescent="0.25">
      <c r="D83" s="180" t="s">
        <v>394</v>
      </c>
      <c r="E83" s="180"/>
      <c r="F83" s="180"/>
      <c r="G83" s="180"/>
    </row>
    <row r="84" spans="2:7" ht="13.65" customHeight="1" x14ac:dyDescent="0.25">
      <c r="C84" s="253">
        <f>H43</f>
        <v>80808.060823824781</v>
      </c>
      <c r="D84" s="15">
        <v>1334.5892857142858</v>
      </c>
      <c r="E84" s="15">
        <v>1434.5892857142858</v>
      </c>
      <c r="F84" s="15">
        <v>1534.5892857142858</v>
      </c>
      <c r="G84" s="15">
        <v>1634.5892857142858</v>
      </c>
    </row>
    <row r="85" spans="2:7" ht="13.65" customHeight="1" x14ac:dyDescent="0.25">
      <c r="B85" s="301" t="s">
        <v>393</v>
      </c>
      <c r="C85" s="68">
        <v>3.1072576714863701E-2</v>
      </c>
      <c r="D85" s="15">
        <f t="dataTable" ref="D85:G89" dt2D="1" dtr="1" r1="H33" r2="H24" ca="1"/>
        <v>7046.9910693028141</v>
      </c>
      <c r="E85" s="15">
        <v>3748.7559728727501</v>
      </c>
      <c r="F85" s="15">
        <v>450.52087644270068</v>
      </c>
      <c r="G85" s="15">
        <v>-2847.7142199873633</v>
      </c>
    </row>
    <row r="86" spans="2:7" ht="13.65" customHeight="1" x14ac:dyDescent="0.25">
      <c r="B86" s="302"/>
      <c r="C86" s="68">
        <v>4.1072576714863702E-2</v>
      </c>
      <c r="D86" s="15">
        <v>31634.014320810144</v>
      </c>
      <c r="E86" s="15">
        <v>28335.77922438008</v>
      </c>
      <c r="F86" s="15">
        <v>25037.54412795003</v>
      </c>
      <c r="G86" s="15">
        <v>21739.309031519966</v>
      </c>
    </row>
    <row r="87" spans="2:7" ht="13.65" customHeight="1" x14ac:dyDescent="0.25">
      <c r="B87" s="302"/>
      <c r="C87" s="68">
        <v>5.1072576714863704E-2</v>
      </c>
      <c r="D87" s="15">
        <v>56221.037572317488</v>
      </c>
      <c r="E87" s="15">
        <v>52922.802475887438</v>
      </c>
      <c r="F87" s="15">
        <v>49624.567379457374</v>
      </c>
      <c r="G87" s="15">
        <v>46326.33228302731</v>
      </c>
    </row>
    <row r="88" spans="2:7" ht="13.65" customHeight="1" x14ac:dyDescent="0.25">
      <c r="B88" s="302"/>
      <c r="C88" s="68">
        <v>6.1072576714863706E-2</v>
      </c>
      <c r="D88" s="15">
        <v>80808.060823824839</v>
      </c>
      <c r="E88" s="15">
        <v>77509.825727394782</v>
      </c>
      <c r="F88" s="15">
        <v>74211.590630964725</v>
      </c>
      <c r="G88" s="15">
        <v>70913.355534534654</v>
      </c>
    </row>
    <row r="89" spans="2:7" ht="13.65" customHeight="1" x14ac:dyDescent="0.25">
      <c r="B89" s="302"/>
      <c r="C89" s="68">
        <v>7.1072576714863708E-2</v>
      </c>
      <c r="D89" s="15">
        <v>105395.08407533218</v>
      </c>
      <c r="E89" s="15">
        <v>102096.84897890214</v>
      </c>
      <c r="F89" s="15">
        <v>98798.613882472069</v>
      </c>
      <c r="G89" s="15">
        <v>95500.378786042013</v>
      </c>
    </row>
    <row r="92" spans="2:7" ht="13.65" customHeight="1" x14ac:dyDescent="0.25">
      <c r="C92" t="str">
        <f>B44</f>
        <v>NPV of stores in Caribbean</v>
      </c>
    </row>
    <row r="93" spans="2:7" ht="13.65" customHeight="1" x14ac:dyDescent="0.25">
      <c r="D93" s="180" t="s">
        <v>394</v>
      </c>
      <c r="E93" s="180"/>
      <c r="F93" s="180"/>
      <c r="G93" s="180"/>
    </row>
    <row r="94" spans="2:7" ht="13.65" customHeight="1" x14ac:dyDescent="0.25">
      <c r="C94" s="253">
        <f>H44</f>
        <v>86383.921425665845</v>
      </c>
      <c r="D94" s="15">
        <v>1234.5892857142858</v>
      </c>
      <c r="E94" s="15">
        <v>1334.5892857142858</v>
      </c>
      <c r="F94" s="15">
        <v>1434.5892857142858</v>
      </c>
      <c r="G94" s="15">
        <v>1534.5892857142858</v>
      </c>
    </row>
    <row r="95" spans="2:7" ht="13.65" customHeight="1" x14ac:dyDescent="0.25">
      <c r="B95" s="301" t="s">
        <v>393</v>
      </c>
      <c r="C95" s="68">
        <v>3.1072576714863701E-2</v>
      </c>
      <c r="D95" s="15">
        <f t="dataTable" ref="D95:G99" dt2D="1" dtr="1" r1="H33" r2="H24" ca="1"/>
        <v>13182.119017183883</v>
      </c>
      <c r="E95" s="15">
        <v>9883.8839207538331</v>
      </c>
      <c r="F95" s="15">
        <v>6585.6488243237691</v>
      </c>
      <c r="G95" s="15">
        <v>3287.4137278937196</v>
      </c>
    </row>
    <row r="96" spans="2:7" ht="13.65" customHeight="1" x14ac:dyDescent="0.25">
      <c r="B96" s="302"/>
      <c r="C96" s="68">
        <v>4.1072576714863702E-2</v>
      </c>
      <c r="D96" s="15">
        <v>38682.131518821217</v>
      </c>
      <c r="E96" s="15">
        <v>35383.896422391168</v>
      </c>
      <c r="F96" s="15">
        <v>32085.661325961104</v>
      </c>
      <c r="G96" s="15">
        <v>28787.426229531055</v>
      </c>
    </row>
    <row r="97" spans="2:7" ht="13.65" customHeight="1" x14ac:dyDescent="0.25">
      <c r="B97" s="302"/>
      <c r="C97" s="68">
        <v>5.1072576714863704E-2</v>
      </c>
      <c r="D97" s="15">
        <v>64182.144020458582</v>
      </c>
      <c r="E97" s="15">
        <v>60883.908924028518</v>
      </c>
      <c r="F97" s="15">
        <v>57585.673827598439</v>
      </c>
      <c r="G97" s="15">
        <v>54287.438731168389</v>
      </c>
    </row>
    <row r="98" spans="2:7" ht="13.65" customHeight="1" x14ac:dyDescent="0.25">
      <c r="B98" s="302"/>
      <c r="C98" s="68">
        <v>6.1072576714863706E-2</v>
      </c>
      <c r="D98" s="15">
        <v>89682.156522095902</v>
      </c>
      <c r="E98" s="15">
        <v>86383.921425665845</v>
      </c>
      <c r="F98" s="15">
        <v>83085.686329235788</v>
      </c>
      <c r="G98" s="15">
        <v>79787.451232805732</v>
      </c>
    </row>
    <row r="99" spans="2:7" ht="13.65" customHeight="1" x14ac:dyDescent="0.25">
      <c r="B99" s="302"/>
      <c r="C99" s="68">
        <v>7.1072576714863708E-2</v>
      </c>
      <c r="D99" s="15">
        <v>115182.16902373324</v>
      </c>
      <c r="E99" s="15">
        <v>111883.93392730315</v>
      </c>
      <c r="F99" s="15">
        <v>108585.69883087314</v>
      </c>
      <c r="G99" s="15">
        <v>105287.46373444307</v>
      </c>
    </row>
    <row r="101" spans="2:7" ht="13.65" customHeight="1" x14ac:dyDescent="0.25">
      <c r="C101" t="str">
        <f>B45</f>
        <v>NPV of stores in South America</v>
      </c>
    </row>
    <row r="102" spans="2:7" ht="13.65" customHeight="1" x14ac:dyDescent="0.25">
      <c r="D102" s="180" t="s">
        <v>394</v>
      </c>
      <c r="E102" s="180"/>
      <c r="F102" s="180"/>
      <c r="G102" s="180"/>
    </row>
    <row r="103" spans="2:7" ht="13.65" customHeight="1" x14ac:dyDescent="0.25">
      <c r="C103" s="253">
        <f>H45</f>
        <v>23626.88743337553</v>
      </c>
      <c r="D103" s="15">
        <v>1234.5892857142858</v>
      </c>
      <c r="E103" s="15">
        <v>1334.5892857142858</v>
      </c>
      <c r="F103" s="15">
        <v>1434.5892857142858</v>
      </c>
      <c r="G103" s="15">
        <v>1534.5892857142858</v>
      </c>
    </row>
    <row r="104" spans="2:7" ht="13.65" customHeight="1" x14ac:dyDescent="0.25">
      <c r="B104" s="301" t="s">
        <v>393</v>
      </c>
      <c r="C104" s="68">
        <v>3.1072576714863701E-2</v>
      </c>
      <c r="D104" s="15">
        <f t="dataTable" ref="D104:G108" dt2D="1" dtr="1" r1="H33" r2="H24"/>
        <v>-18747.477833249264</v>
      </c>
      <c r="E104" s="15">
        <v>-22045.712929679325</v>
      </c>
      <c r="F104" s="15">
        <v>-25343.948026109381</v>
      </c>
      <c r="G104" s="15">
        <v>-28642.183122539438</v>
      </c>
    </row>
    <row r="105" spans="2:7" ht="13.65" customHeight="1" x14ac:dyDescent="0.25">
      <c r="B105" s="302"/>
      <c r="C105" s="68">
        <v>4.1072576714863702E-2</v>
      </c>
      <c r="D105" s="15">
        <v>-3523.2777122309781</v>
      </c>
      <c r="E105" s="15">
        <v>-6821.5128086610348</v>
      </c>
      <c r="F105" s="15">
        <v>-10119.747905091092</v>
      </c>
      <c r="G105" s="15">
        <v>-13417.983001521148</v>
      </c>
    </row>
    <row r="106" spans="2:7" ht="13.65" customHeight="1" x14ac:dyDescent="0.25">
      <c r="B106" s="302"/>
      <c r="C106" s="68">
        <v>5.1072576714863704E-2</v>
      </c>
      <c r="D106" s="15">
        <v>11700.922408787301</v>
      </c>
      <c r="E106" s="15">
        <v>8402.6873123572368</v>
      </c>
      <c r="F106" s="15">
        <v>5104.4522159271874</v>
      </c>
      <c r="G106" s="15">
        <v>1806.2171194971233</v>
      </c>
    </row>
    <row r="107" spans="2:7" ht="13.65" customHeight="1" x14ac:dyDescent="0.25">
      <c r="B107" s="302"/>
      <c r="C107" s="68">
        <v>6.1072576714863706E-2</v>
      </c>
      <c r="D107" s="15">
        <v>26925.122529805594</v>
      </c>
      <c r="E107" s="15">
        <v>23626.88743337553</v>
      </c>
      <c r="F107" s="15">
        <v>20328.652336945481</v>
      </c>
      <c r="G107" s="15">
        <v>17030.417240515417</v>
      </c>
    </row>
    <row r="108" spans="2:7" ht="13.65" customHeight="1" x14ac:dyDescent="0.25">
      <c r="B108" s="302"/>
      <c r="C108" s="68">
        <v>7.1072576714863708E-2</v>
      </c>
      <c r="D108" s="15">
        <v>42149.322650823888</v>
      </c>
      <c r="E108" s="15">
        <v>38851.087554393838</v>
      </c>
      <c r="F108" s="15">
        <v>35552.85245796376</v>
      </c>
      <c r="G108" s="15">
        <v>32254.61736153371</v>
      </c>
    </row>
  </sheetData>
  <mergeCells count="3">
    <mergeCell ref="B85:B89"/>
    <mergeCell ref="B95:B99"/>
    <mergeCell ref="B104:B108"/>
  </mergeCells>
  <conditionalFormatting sqref="D85:G89">
    <cfRule type="colorScale" priority="12">
      <colorScale>
        <cfvo type="min"/>
        <cfvo type="percentile" val="50"/>
        <cfvo type="max"/>
        <color rgb="FFF8696B"/>
        <color rgb="FFFFEB84"/>
        <color rgb="FF63BE7B"/>
      </colorScale>
    </cfRule>
  </conditionalFormatting>
  <conditionalFormatting sqref="D95:G99">
    <cfRule type="colorScale" priority="11">
      <colorScale>
        <cfvo type="min"/>
        <cfvo type="percentile" val="50"/>
        <cfvo type="max"/>
        <color rgb="FFF8696B"/>
        <color rgb="FFFFEB84"/>
        <color rgb="FF63BE7B"/>
      </colorScale>
    </cfRule>
  </conditionalFormatting>
  <conditionalFormatting sqref="D104:G108">
    <cfRule type="colorScale" priority="10">
      <colorScale>
        <cfvo type="min"/>
        <cfvo type="percentile" val="50"/>
        <cfvo type="max"/>
        <color rgb="FFF8696B"/>
        <color rgb="FFFFEB84"/>
        <color rgb="FF63BE7B"/>
      </colorScale>
    </cfRule>
  </conditionalFormatting>
  <conditionalFormatting sqref="B51:Y54">
    <cfRule type="expression" dxfId="5" priority="8">
      <formula>MOD(ROW(),2)</formula>
    </cfRule>
    <cfRule type="expression" priority="9">
      <formula>MOD(ROW(),2)</formula>
    </cfRule>
  </conditionalFormatting>
  <conditionalFormatting sqref="B57:Y60">
    <cfRule type="expression" dxfId="4" priority="6">
      <formula>MOD(ROW(),2)</formula>
    </cfRule>
    <cfRule type="expression" priority="7">
      <formula>MOD(ROW(),2)</formula>
    </cfRule>
  </conditionalFormatting>
  <conditionalFormatting sqref="B63:N66 O63:Y65">
    <cfRule type="expression" dxfId="3" priority="4">
      <formula>MOD(ROW(),2)</formula>
    </cfRule>
    <cfRule type="expression" priority="5">
      <formula>MOD(ROW(),2)</formula>
    </cfRule>
  </conditionalFormatting>
  <conditionalFormatting sqref="B43:H48">
    <cfRule type="expression" dxfId="2" priority="1">
      <formula>MOD(ROW(),2)</formula>
    </cfRule>
    <cfRule type="expression" priority="2">
      <formula>MOD(ROW(),2)</formula>
    </cfRule>
    <cfRule type="expression" priority="3">
      <formula>MOD(ROW(),2)</formula>
    </cfRule>
  </conditionalFormatting>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5C0B-C5B1-4E83-8664-488D90A3B627}">
  <dimension ref="B2:XFD1048576"/>
  <sheetViews>
    <sheetView showGridLines="0" zoomScale="66" workbookViewId="0">
      <selection activeCell="A2" sqref="A2"/>
    </sheetView>
  </sheetViews>
  <sheetFormatPr defaultRowHeight="13.2" x14ac:dyDescent="0.25"/>
  <cols>
    <col min="2" max="2" width="29.109375" bestFit="1" customWidth="1"/>
    <col min="3" max="3" width="13.44140625" bestFit="1" customWidth="1"/>
    <col min="4" max="4" width="14.6640625" bestFit="1" customWidth="1"/>
    <col min="5" max="5" width="30.88671875" bestFit="1" customWidth="1"/>
    <col min="11" max="11" width="5.109375" bestFit="1" customWidth="1"/>
    <col min="12" max="12" width="8" bestFit="1" customWidth="1"/>
    <col min="13" max="13" width="14.21875" customWidth="1"/>
    <col min="14" max="14" width="20.88671875" bestFit="1" customWidth="1"/>
    <col min="15" max="15" width="11.44140625" bestFit="1" customWidth="1"/>
    <col min="17" max="17" width="10.5546875" bestFit="1" customWidth="1"/>
  </cols>
  <sheetData>
    <row r="2" spans="2:10" ht="30" customHeight="1" x14ac:dyDescent="0.25">
      <c r="B2" s="137" t="s">
        <v>407</v>
      </c>
      <c r="C2" s="261" t="s">
        <v>408</v>
      </c>
      <c r="D2" s="137" t="s">
        <v>409</v>
      </c>
    </row>
    <row r="3" spans="2:10" x14ac:dyDescent="0.25">
      <c r="B3" s="260" t="s">
        <v>134</v>
      </c>
      <c r="C3" s="262">
        <v>2.7E-2</v>
      </c>
      <c r="D3" s="262">
        <v>1.4999999999999999E-2</v>
      </c>
    </row>
    <row r="4" spans="2:10" x14ac:dyDescent="0.25">
      <c r="B4" s="260" t="s">
        <v>410</v>
      </c>
      <c r="C4" s="262">
        <v>1.7000000000000001E-2</v>
      </c>
      <c r="D4" s="262">
        <v>1.4E-2</v>
      </c>
    </row>
    <row r="5" spans="2:10" x14ac:dyDescent="0.25">
      <c r="B5" s="260" t="s">
        <v>411</v>
      </c>
      <c r="C5" s="262">
        <v>1.2E-2</v>
      </c>
      <c r="D5" s="262">
        <v>1.2E-2</v>
      </c>
    </row>
    <row r="6" spans="2:10" x14ac:dyDescent="0.25">
      <c r="B6" s="260" t="s">
        <v>412</v>
      </c>
      <c r="C6" s="262">
        <v>8.9999999999999993E-3</v>
      </c>
      <c r="D6" s="262">
        <v>1.4999999999999999E-2</v>
      </c>
    </row>
    <row r="7" spans="2:10" x14ac:dyDescent="0.25">
      <c r="B7" s="260" t="s">
        <v>413</v>
      </c>
      <c r="C7" s="262">
        <v>8.9999999999999993E-3</v>
      </c>
      <c r="D7" s="263" t="s">
        <v>20</v>
      </c>
    </row>
    <row r="8" spans="2:10" x14ac:dyDescent="0.25">
      <c r="B8" s="260" t="s">
        <v>414</v>
      </c>
      <c r="C8" s="262">
        <v>0.01</v>
      </c>
      <c r="D8" s="262">
        <v>1E-3</v>
      </c>
    </row>
    <row r="9" spans="2:10" x14ac:dyDescent="0.25">
      <c r="B9" s="260" t="s">
        <v>415</v>
      </c>
      <c r="C9" s="262">
        <v>3.9E-2</v>
      </c>
      <c r="D9" s="262">
        <v>3.0000000000000001E-3</v>
      </c>
    </row>
    <row r="10" spans="2:10" x14ac:dyDescent="0.25">
      <c r="B10" s="260" t="s">
        <v>416</v>
      </c>
      <c r="C10" s="263" t="s">
        <v>417</v>
      </c>
      <c r="D10" s="263" t="s">
        <v>20</v>
      </c>
    </row>
    <row r="11" spans="2:10" x14ac:dyDescent="0.25">
      <c r="B11" s="260" t="s">
        <v>418</v>
      </c>
      <c r="C11" s="262">
        <v>1.7000000000000001E-2</v>
      </c>
      <c r="D11" s="263" t="s">
        <v>20</v>
      </c>
    </row>
    <row r="15" spans="2:10" x14ac:dyDescent="0.25">
      <c r="E15" s="270"/>
      <c r="F15" s="24">
        <v>2026</v>
      </c>
      <c r="G15" s="24">
        <v>2027</v>
      </c>
      <c r="H15" s="24">
        <v>2028</v>
      </c>
      <c r="I15" s="24">
        <v>2029</v>
      </c>
      <c r="J15" s="24">
        <v>2030</v>
      </c>
    </row>
    <row r="16" spans="2:10" x14ac:dyDescent="0.25">
      <c r="E16" t="s">
        <v>299</v>
      </c>
      <c r="F16" s="171"/>
      <c r="G16" s="171"/>
      <c r="H16" s="171"/>
      <c r="I16" s="171"/>
      <c r="J16" s="171"/>
    </row>
    <row r="17" spans="5:10" x14ac:dyDescent="0.25">
      <c r="E17" t="s">
        <v>315</v>
      </c>
      <c r="F17" s="15">
        <v>33</v>
      </c>
      <c r="G17" s="15">
        <v>35</v>
      </c>
      <c r="H17" s="15">
        <v>36</v>
      </c>
      <c r="I17" s="15">
        <v>36</v>
      </c>
      <c r="J17" s="15">
        <v>37</v>
      </c>
    </row>
    <row r="18" spans="5:10" x14ac:dyDescent="0.25">
      <c r="E18" t="s">
        <v>316</v>
      </c>
      <c r="F18" s="59">
        <v>16</v>
      </c>
      <c r="G18" s="59">
        <v>17</v>
      </c>
      <c r="H18" s="59">
        <v>17</v>
      </c>
      <c r="I18" s="59">
        <v>18</v>
      </c>
      <c r="J18" s="59">
        <v>18</v>
      </c>
    </row>
    <row r="19" spans="5:10" x14ac:dyDescent="0.25">
      <c r="E19" t="s">
        <v>320</v>
      </c>
      <c r="F19" s="59">
        <v>10</v>
      </c>
      <c r="G19" s="59">
        <v>11</v>
      </c>
      <c r="H19" s="59">
        <v>11</v>
      </c>
      <c r="I19" s="59">
        <v>12</v>
      </c>
      <c r="J19" s="59">
        <v>12</v>
      </c>
    </row>
    <row r="20" spans="5:10" x14ac:dyDescent="0.25">
      <c r="E20" t="s">
        <v>322</v>
      </c>
      <c r="F20" s="59"/>
      <c r="G20" s="59"/>
      <c r="H20" s="59"/>
      <c r="I20" s="59"/>
      <c r="J20" s="59"/>
    </row>
    <row r="21" spans="5:10" x14ac:dyDescent="0.25">
      <c r="E21" s="120" t="s">
        <v>315</v>
      </c>
      <c r="F21" s="15">
        <v>1</v>
      </c>
      <c r="G21" s="15">
        <v>2</v>
      </c>
      <c r="H21" s="15">
        <v>1</v>
      </c>
      <c r="I21" s="15">
        <v>0</v>
      </c>
      <c r="J21" s="15">
        <v>1</v>
      </c>
    </row>
    <row r="22" spans="5:10" x14ac:dyDescent="0.25">
      <c r="E22" t="s">
        <v>316</v>
      </c>
      <c r="F22" s="15">
        <v>2</v>
      </c>
      <c r="G22" s="15">
        <v>1</v>
      </c>
      <c r="H22" s="15">
        <v>0</v>
      </c>
      <c r="I22" s="15">
        <v>1</v>
      </c>
      <c r="J22" s="15">
        <v>0</v>
      </c>
    </row>
    <row r="23" spans="5:10" x14ac:dyDescent="0.25">
      <c r="E23" t="s">
        <v>320</v>
      </c>
      <c r="F23" s="15">
        <v>0</v>
      </c>
      <c r="G23" s="15">
        <v>1</v>
      </c>
      <c r="H23" s="15">
        <v>0</v>
      </c>
      <c r="I23" s="15">
        <v>1</v>
      </c>
      <c r="J23" s="15">
        <v>0</v>
      </c>
    </row>
    <row r="24" spans="5:10" x14ac:dyDescent="0.25">
      <c r="E24" t="s">
        <v>322</v>
      </c>
      <c r="F24" s="17">
        <v>3</v>
      </c>
      <c r="G24" s="17">
        <v>4</v>
      </c>
      <c r="H24" s="17">
        <v>1</v>
      </c>
      <c r="I24" s="17">
        <v>2</v>
      </c>
      <c r="J24" s="17">
        <v>1</v>
      </c>
    </row>
    <row r="25" spans="5:10" x14ac:dyDescent="0.25">
      <c r="E25" t="s">
        <v>321</v>
      </c>
      <c r="F25" s="17">
        <v>59</v>
      </c>
      <c r="G25" s="17">
        <v>63</v>
      </c>
      <c r="H25" s="17">
        <v>64</v>
      </c>
      <c r="I25" s="17">
        <v>66</v>
      </c>
      <c r="J25" s="17">
        <v>67</v>
      </c>
    </row>
    <row r="26" spans="5:10" x14ac:dyDescent="0.25">
      <c r="F26" s="15"/>
      <c r="G26" s="15"/>
      <c r="H26" s="15"/>
      <c r="I26" s="15"/>
      <c r="J26" s="15"/>
    </row>
    <row r="27" spans="5:10" x14ac:dyDescent="0.25">
      <c r="E27" s="271" t="s">
        <v>345</v>
      </c>
      <c r="F27" s="38"/>
      <c r="G27" s="269"/>
      <c r="H27" s="269"/>
      <c r="I27" s="269"/>
      <c r="J27" s="269"/>
    </row>
    <row r="28" spans="5:10" x14ac:dyDescent="0.25">
      <c r="E28" s="215" t="s">
        <v>315</v>
      </c>
      <c r="F28" s="38"/>
      <c r="G28" s="269"/>
      <c r="H28" s="31">
        <v>1</v>
      </c>
      <c r="I28" s="31">
        <v>0</v>
      </c>
      <c r="J28" s="31">
        <v>1</v>
      </c>
    </row>
    <row r="29" spans="5:10" x14ac:dyDescent="0.25">
      <c r="E29" s="38" t="s">
        <v>316</v>
      </c>
      <c r="F29" s="38"/>
      <c r="G29" s="269"/>
      <c r="H29" s="31">
        <v>0</v>
      </c>
      <c r="I29" s="31">
        <v>1</v>
      </c>
      <c r="J29" s="31">
        <v>0</v>
      </c>
    </row>
    <row r="30" spans="5:10" x14ac:dyDescent="0.25">
      <c r="E30" s="38" t="s">
        <v>320</v>
      </c>
      <c r="F30" s="38"/>
      <c r="G30" s="269"/>
      <c r="H30" s="31">
        <v>0</v>
      </c>
      <c r="I30" s="31">
        <v>1</v>
      </c>
      <c r="J30" s="31">
        <v>0</v>
      </c>
    </row>
    <row r="31" spans="5:10" x14ac:dyDescent="0.25">
      <c r="E31" s="271" t="s">
        <v>426</v>
      </c>
      <c r="F31" s="38"/>
      <c r="G31" s="269"/>
      <c r="H31" s="31"/>
      <c r="I31" s="31"/>
      <c r="J31" s="31"/>
    </row>
    <row r="32" spans="5:10" x14ac:dyDescent="0.25">
      <c r="E32" s="215" t="s">
        <v>315</v>
      </c>
      <c r="F32" s="38"/>
      <c r="G32" s="269"/>
      <c r="H32" s="31">
        <v>2</v>
      </c>
      <c r="I32" s="31">
        <v>1</v>
      </c>
      <c r="J32" s="31">
        <v>1</v>
      </c>
    </row>
    <row r="33" spans="5:15" x14ac:dyDescent="0.25">
      <c r="E33" s="38" t="s">
        <v>316</v>
      </c>
      <c r="F33" s="38"/>
      <c r="G33" s="269"/>
      <c r="H33" s="31">
        <v>0</v>
      </c>
      <c r="I33" s="31">
        <v>1</v>
      </c>
      <c r="J33" s="31">
        <v>0</v>
      </c>
    </row>
    <row r="34" spans="5:15" x14ac:dyDescent="0.25">
      <c r="E34" s="38" t="s">
        <v>320</v>
      </c>
      <c r="F34" s="38"/>
      <c r="G34" s="269"/>
      <c r="H34" s="31">
        <v>1</v>
      </c>
      <c r="I34" s="31">
        <v>1</v>
      </c>
      <c r="J34" s="31">
        <v>0</v>
      </c>
    </row>
    <row r="35" spans="5:15" x14ac:dyDescent="0.25">
      <c r="E35" s="38" t="s">
        <v>427</v>
      </c>
      <c r="F35" s="38"/>
      <c r="G35" s="269"/>
      <c r="H35" s="31"/>
      <c r="I35" s="31"/>
      <c r="J35" s="31"/>
    </row>
    <row r="36" spans="5:15" x14ac:dyDescent="0.25">
      <c r="E36" s="215" t="s">
        <v>315</v>
      </c>
      <c r="F36" s="38"/>
      <c r="G36" s="269"/>
      <c r="H36" s="31">
        <v>0</v>
      </c>
      <c r="I36" s="31">
        <v>0</v>
      </c>
      <c r="J36" s="31">
        <v>0</v>
      </c>
    </row>
    <row r="37" spans="5:15" x14ac:dyDescent="0.25">
      <c r="E37" s="38" t="s">
        <v>316</v>
      </c>
      <c r="F37" s="38"/>
      <c r="G37" s="269"/>
      <c r="H37" s="31">
        <v>0</v>
      </c>
      <c r="I37" s="31">
        <v>0</v>
      </c>
      <c r="J37" s="31">
        <v>0</v>
      </c>
    </row>
    <row r="38" spans="5:15" x14ac:dyDescent="0.25">
      <c r="E38" s="38" t="s">
        <v>320</v>
      </c>
      <c r="F38" s="38"/>
      <c r="G38" s="269"/>
      <c r="H38" s="31">
        <v>0</v>
      </c>
      <c r="I38" s="31">
        <v>0</v>
      </c>
      <c r="J38" s="31">
        <v>0</v>
      </c>
    </row>
    <row r="41" spans="5:15" ht="30" customHeight="1" x14ac:dyDescent="0.25">
      <c r="K41" s="38"/>
      <c r="L41" s="279" t="s">
        <v>244</v>
      </c>
      <c r="M41" s="279" t="s">
        <v>431</v>
      </c>
      <c r="N41" s="279" t="s">
        <v>432</v>
      </c>
    </row>
    <row r="42" spans="5:15" x14ac:dyDescent="0.25">
      <c r="K42" s="29" t="s">
        <v>345</v>
      </c>
      <c r="L42" s="275">
        <v>0.32265227895757848</v>
      </c>
      <c r="M42" s="277">
        <v>0.47634659264967272</v>
      </c>
      <c r="N42" s="180" t="s">
        <v>20</v>
      </c>
      <c r="O42" s="91"/>
    </row>
    <row r="43" spans="5:15" x14ac:dyDescent="0.25">
      <c r="K43" s="215" t="s">
        <v>426</v>
      </c>
      <c r="L43" s="276">
        <v>0.28386231343644974</v>
      </c>
      <c r="M43" s="278">
        <v>0.3963795213719139</v>
      </c>
      <c r="N43" s="278">
        <v>0.41030501550857457</v>
      </c>
      <c r="O43" s="91"/>
    </row>
    <row r="44" spans="5:15" x14ac:dyDescent="0.25">
      <c r="K44" s="29" t="s">
        <v>427</v>
      </c>
      <c r="L44" s="275">
        <v>0.3542972974570211</v>
      </c>
      <c r="M44" s="277">
        <v>0.54870034779425214</v>
      </c>
      <c r="N44" s="280">
        <v>-0.22330979638664239</v>
      </c>
      <c r="O44" s="91"/>
    </row>
    <row r="50" spans="16:19" ht="15.6" customHeight="1" x14ac:dyDescent="0.25">
      <c r="P50" s="281" t="s">
        <v>433</v>
      </c>
      <c r="Q50" s="281"/>
      <c r="R50" s="281"/>
      <c r="S50" s="282" t="s">
        <v>434</v>
      </c>
    </row>
    <row r="51" spans="16:19" ht="13.8" customHeight="1" x14ac:dyDescent="0.25">
      <c r="P51" s="298" t="s">
        <v>435</v>
      </c>
      <c r="Q51" s="283"/>
      <c r="R51" s="283"/>
      <c r="S51" s="284">
        <f ca="1">DCF!H37</f>
        <v>124.88884100283225</v>
      </c>
    </row>
    <row r="52" spans="16:19" ht="13.8" customHeight="1" x14ac:dyDescent="0.25">
      <c r="P52" s="298" t="s">
        <v>436</v>
      </c>
      <c r="Q52" s="283"/>
      <c r="R52" s="283"/>
      <c r="S52" s="285" t="s">
        <v>437</v>
      </c>
    </row>
    <row r="53" spans="16:19" ht="13.8" customHeight="1" x14ac:dyDescent="0.25">
      <c r="P53" s="298" t="s">
        <v>438</v>
      </c>
      <c r="Q53" s="283"/>
      <c r="R53" s="283"/>
      <c r="S53" s="286">
        <f>DCF!C5</f>
        <v>169.46</v>
      </c>
    </row>
    <row r="54" spans="16:19" ht="13.8" customHeight="1" x14ac:dyDescent="0.25">
      <c r="P54" s="298" t="s">
        <v>439</v>
      </c>
      <c r="Q54" s="283"/>
      <c r="R54" s="283"/>
      <c r="S54" s="287"/>
    </row>
    <row r="55" spans="16:19" ht="14.4" customHeight="1" x14ac:dyDescent="0.25">
      <c r="P55" s="296" t="s">
        <v>440</v>
      </c>
      <c r="Q55" s="296"/>
      <c r="R55" s="296"/>
      <c r="S55" s="297"/>
    </row>
    <row r="56" spans="16:19" ht="13.8" customHeight="1" x14ac:dyDescent="0.25">
      <c r="P56" s="298" t="s">
        <v>441</v>
      </c>
      <c r="Q56" s="283"/>
      <c r="R56" s="283"/>
      <c r="S56" s="286" t="s">
        <v>456</v>
      </c>
    </row>
    <row r="57" spans="16:19" ht="13.8" customHeight="1" x14ac:dyDescent="0.25">
      <c r="P57" s="298" t="s">
        <v>442</v>
      </c>
      <c r="Q57" s="283"/>
      <c r="R57" s="283"/>
      <c r="S57" s="286" t="s">
        <v>443</v>
      </c>
    </row>
    <row r="58" spans="16:19" ht="13.8" customHeight="1" x14ac:dyDescent="0.25">
      <c r="P58" s="298" t="s">
        <v>444</v>
      </c>
      <c r="Q58" s="283"/>
      <c r="R58" s="283"/>
      <c r="S58" s="286" t="s">
        <v>457</v>
      </c>
    </row>
    <row r="59" spans="16:19" ht="13.8" customHeight="1" x14ac:dyDescent="0.25">
      <c r="P59" s="298" t="s">
        <v>445</v>
      </c>
      <c r="Q59" s="283"/>
      <c r="R59" s="283"/>
      <c r="S59" s="286">
        <v>0.51</v>
      </c>
    </row>
    <row r="60" spans="16:19" ht="13.8" customHeight="1" x14ac:dyDescent="0.25">
      <c r="P60" s="298" t="s">
        <v>307</v>
      </c>
      <c r="Q60" s="283"/>
      <c r="R60" s="283"/>
      <c r="S60" s="286" t="s">
        <v>446</v>
      </c>
    </row>
    <row r="61" spans="16:19" ht="13.8" customHeight="1" x14ac:dyDescent="0.25">
      <c r="P61" s="298" t="s">
        <v>447</v>
      </c>
      <c r="Q61" s="283"/>
      <c r="R61" s="283"/>
      <c r="S61" s="286" t="s">
        <v>448</v>
      </c>
    </row>
    <row r="62" spans="16:19" ht="13.8" customHeight="1" x14ac:dyDescent="0.25">
      <c r="P62" s="298" t="s">
        <v>449</v>
      </c>
      <c r="Q62" s="283"/>
      <c r="R62" s="283"/>
      <c r="S62" s="288">
        <v>5.21</v>
      </c>
    </row>
    <row r="63" spans="16:19" ht="14.4" customHeight="1" x14ac:dyDescent="0.25">
      <c r="P63" s="296" t="s">
        <v>450</v>
      </c>
      <c r="Q63" s="296"/>
      <c r="R63" s="296"/>
      <c r="S63" s="297"/>
    </row>
    <row r="64" spans="16:19" ht="13.8" customHeight="1" x14ac:dyDescent="0.25">
      <c r="P64" s="289"/>
      <c r="Q64" s="290" t="s">
        <v>451</v>
      </c>
      <c r="R64" s="290" t="s">
        <v>452</v>
      </c>
      <c r="S64" s="290" t="s">
        <v>453</v>
      </c>
    </row>
    <row r="65" spans="16:19" ht="13.8" customHeight="1" x14ac:dyDescent="0.25">
      <c r="P65" s="283" t="s">
        <v>134</v>
      </c>
      <c r="Q65" s="300">
        <f>Model!H8</f>
        <v>5744422.5607000589</v>
      </c>
      <c r="R65" s="300">
        <f>Model!I8</f>
        <v>6301687.9713235954</v>
      </c>
      <c r="S65" s="300">
        <f>Model!J8</f>
        <v>6632929.6464475114</v>
      </c>
    </row>
    <row r="66" spans="16:19" ht="13.8" customHeight="1" x14ac:dyDescent="0.25">
      <c r="P66" s="283" t="s">
        <v>138</v>
      </c>
      <c r="Q66" s="299">
        <f>Model!H12</f>
        <v>332121.26167170354</v>
      </c>
      <c r="R66" s="299">
        <f>Model!I12</f>
        <v>364581.63038873672</v>
      </c>
      <c r="S66" s="299">
        <f>Model!J12</f>
        <v>335796.46841610328</v>
      </c>
    </row>
    <row r="67" spans="16:19" ht="27.6" x14ac:dyDescent="0.25">
      <c r="P67" s="283" t="s">
        <v>143</v>
      </c>
      <c r="Q67" s="299">
        <f ca="1">Model!H21</f>
        <v>150858.64405529777</v>
      </c>
      <c r="R67" s="299">
        <f ca="1">Model!I21</f>
        <v>161135.85371071496</v>
      </c>
      <c r="S67" s="299">
        <f ca="1">Model!J21</f>
        <v>171358.39808025234</v>
      </c>
    </row>
    <row r="68" spans="16:19" ht="13.8" customHeight="1" x14ac:dyDescent="0.25">
      <c r="P68" s="283" t="s">
        <v>454</v>
      </c>
      <c r="Q68" s="299">
        <f>DCF!D15</f>
        <v>72792.162136849714</v>
      </c>
      <c r="R68" s="299">
        <f>DCF!E15</f>
        <v>89479.665969290596</v>
      </c>
      <c r="S68" s="299">
        <f>DCF!F15</f>
        <v>132881.41971228248</v>
      </c>
    </row>
    <row r="69" spans="16:19" ht="13.8" customHeight="1" x14ac:dyDescent="0.25">
      <c r="P69" s="291" t="s">
        <v>455</v>
      </c>
      <c r="Q69" s="291"/>
      <c r="R69" s="291"/>
      <c r="S69" s="291"/>
    </row>
    <row r="70" spans="16:19" ht="13.8" x14ac:dyDescent="0.25">
      <c r="P70" s="292"/>
      <c r="Q70" s="292"/>
      <c r="R70" s="292"/>
      <c r="S70" s="292"/>
    </row>
    <row r="1048576" spans="16384:16384" x14ac:dyDescent="0.25">
      <c r="XFD1048576" s="307" t="s">
        <v>459</v>
      </c>
    </row>
  </sheetData>
  <conditionalFormatting sqref="B3:D11">
    <cfRule type="expression" dxfId="1" priority="3">
      <formula>MOD(ROW(), 2)</formula>
    </cfRule>
    <cfRule type="expression" priority="4">
      <formula>MOD(ROW(), 2)=0</formula>
    </cfRule>
  </conditionalFormatting>
  <conditionalFormatting sqref="F15:J15">
    <cfRule type="expression" dxfId="0" priority="1">
      <formula>MOD(ROW(),2)</formula>
    </cfRule>
    <cfRule type="expression" priority="2">
      <formula>MOD(ROW(),2)</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scriptId id="ms-officescript%3A%2F%2Fonedrive_business_itemlink%2F01RSMPEZWMS5FYFDQRP5F2PJYBJV4XL6VC:ms-officescript%3A%2F%2Fonedrive_business_sharinglink%2Fu!aHR0cHM6Ly91YmNjYS1teS5zaGFyZXBvaW50LmNvbS86dTovZy9wZXJzb25hbC9ucml2bWVuX3N0dWRlbnRfdWJjX2NhL0lRRE1sMHVDamhGX1M2ZW5BVTE1ZGZxaUFRczVocFRjUFpWM201RzE4U2tvSmpN"/>
</scriptIds>
</file>

<file path=customXml/item2.xml><?xml version="1.0" encoding="utf-8"?>
<scriptIds xmlns="http://schemas.microsoft.com/office/extensibility/maker/v1.0" id="script-ids-node-id">
  <scriptId id="ms-officescript%3A%2F%2Fonedrive_business_itemlink%2F01RSMPEZWMS5FYFDQRP5F2PJYBJV4XL6VC:ms-officescript%3A%2F%2Fonedrive_business_sharinglink%2Fu!aHR0cHM6Ly91YmNjYS1teS5zaGFyZXBvaW50LmNvbS86dTovZy9wZXJzb25hbC9ucml2bWVuX3N0dWRlbnRfdWJjX2NhL0lRRE1sMHVDamhGX1M2ZW5BVTE1ZGZxaUFRczVocFRjUFpWM201RzE4U2tvSmpN"/>
</scriptIds>
</file>

<file path=customXml/itemProps1.xml><?xml version="1.0" encoding="utf-8"?>
<ds:datastoreItem xmlns:ds="http://schemas.openxmlformats.org/officeDocument/2006/customXml" ds:itemID="{F47351FF-77C1-463C-8FC4-61C8DF6FDDEA}">
  <ds:schemaRefs>
    <ds:schemaRef ds:uri="http://schemas.microsoft.com/office/extensibility/maker/v1.0"/>
  </ds:schemaRefs>
</ds:datastoreItem>
</file>

<file path=customXml/itemProps2.xml><?xml version="1.0" encoding="utf-8"?>
<ds:datastoreItem xmlns:ds="http://schemas.openxmlformats.org/officeDocument/2006/customXml" ds:itemID="{8770DA66-FE02-4B3F-9E0A-DC31582B9AB1}">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Income Statement</vt:lpstr>
      <vt:lpstr>Balance Sheet</vt:lpstr>
      <vt:lpstr>Cash Flow</vt:lpstr>
      <vt:lpstr>COMPS</vt:lpstr>
      <vt:lpstr>Model</vt:lpstr>
      <vt:lpstr>DCF</vt:lpstr>
      <vt:lpstr>Store NPV</vt:lpstr>
      <vt:lpstr>Graphs</vt:lpstr>
      <vt:lpstr>COMPS!Print_Titles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nrivmen@student.ubc.ca</dc:creator>
  <cp:lastModifiedBy>nrivmen@student.ubc.ca</cp:lastModifiedBy>
  <cp:lastPrinted>2026-07-21T04:14:28Z</cp:lastPrinted>
  <dcterms:created xsi:type="dcterms:W3CDTF">2026-06-30T01:19:36Z</dcterms:created>
  <dcterms:modified xsi:type="dcterms:W3CDTF">2026-08-25T21:16:25Z</dcterms:modified>
</cp:coreProperties>
</file>